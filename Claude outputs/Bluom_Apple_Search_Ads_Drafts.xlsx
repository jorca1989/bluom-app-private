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mpaign Plan" sheetId="2" state="visible" r:id="rId4"/>
    <sheet name="Bid Tiers" sheetId="3" state="visible" r:id="rId5"/>
    <sheet name="USA" sheetId="4" state="visible" r:id="rId6"/>
    <sheet name="UK" sheetId="5" state="visible" r:id="rId7"/>
    <sheet name="Canada" sheetId="6" state="visible" r:id="rId8"/>
  </sheets>
  <definedNames>
    <definedName function="false" hidden="true" localSheetId="5" name="_xlnm._FilterDatabase" vbProcedure="false">Canada!$A$3:$G$109</definedName>
    <definedName function="false" hidden="true" localSheetId="4" name="_xlnm._FilterDatabase" vbProcedure="false">UK!$A$3:$G$109</definedName>
    <definedName function="false" hidden="true" localSheetId="3" name="_xlnm._FilterDatabase" vbProcedure="false">USA!$A$3:$G$109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<sst xmlns="http://schemas.openxmlformats.org/spreadsheetml/2006/main" count="1114" uniqueCount="199">
  <si>
    <t xml:space="preserve">Bluom — Apple Search Ads Campaign Drafts</t>
  </si>
  <si>
    <t xml:space="preserve">USA / UK / Canada — built from Bluom's exported Apple Search Ads popularity data + the Master SEO Keywords sheet</t>
  </si>
  <si>
    <t xml:space="preserve">What this is</t>
  </si>
  <si>
    <t xml:space="preserve">A draft Apple Search Ads (Advanced) campaign structure for Bluom, one campaign per country (USA, UK, Canada tabs), built from the 102 keywords you exported from Apple's own Search Ads popularity tool. Ad groups mirror Bluom's real site navigation (Fuel / Move / Plans / Wellness / Women / Tools) plus a Fasting &amp; Metabolic group and an AI Coach &amp; Scanner group for your core differentiator, so messaging stays consistent with your site and blog.</t>
  </si>
  <si>
    <t xml:space="preserve">How to use it</t>
  </si>
  <si>
    <t xml:space="preserve">1. Review each country tab. Ad Group and Keyword columns are fixed to Apple's actual popularity scores — Match Type, Tier, and Suggested Max CPT are starting recommendations, not final bids.</t>
  </si>
  <si>
    <t xml:space="preserve">2. Yellow cells on the 'Bid Tiers' tab are the only cells meant to be edited — change the CPT ranges there and every country tab recalculates automatically (they're formulas, not typed-in numbers).</t>
  </si>
  <si>
    <t xml:space="preserve">3. Build the campaigns in Apple Search Ads Campaign Manager by hand — Apple does not support bulk CSV import for Advanced campaigns, so this workbook is the build sheet you work from, not an upload file.</t>
  </si>
  <si>
    <t xml:space="preserve">4. Start every ad group's keywords at the low end of its Suggested Max CPT range, let it run ~1-2 weeks, then adjust using Apple's own 'Recommended bid' shown in Campaign Manager and your real CPA/CPT data.</t>
  </si>
  <si>
    <t xml:space="preserve">Important caveats — read before you bid</t>
  </si>
  <si>
    <t xml:space="preserve">Suggested Max CPT ranges are ESTIMATES based on typical Health &amp; Fitness category CPTs, not data pulled from Apple. Apple Search Ads bidding is a real-time auction — actual winning bids depend on competition at the moment you run the campaign. Use these as a starting point only; Campaign Manager will show you Apple's own 'Recommended bid range' once the ad group is live, and that should win over this sheet.</t>
  </si>
  <si>
    <t xml:space="preserve">'Popularity Score' is Apple's own 0-100 relative search-popularity metric (not a raw search volume number). A score of '5' in your source files is Apple's own '&lt;5' floor value — meaning negligible but not necessarily zero. Blank cells mean Apple returned no data at all for that term in that market.</t>
  </si>
  <si>
    <t xml:space="preserve">Brand and Discovery ad groups are NOT in your exported keyword data — they're standard Apple Search Ads structure additions, explained on the Campaign Plan tab.</t>
  </si>
  <si>
    <t xml:space="preserve">Competitor-name bidding (e.g. brand terms of MyFitnessPal, Lose It, Noom, Zero, Fitbit) is common practice in this category and generally allowed under Apple's guidelines, but it's a deliberate call with trademark/brand-safety considerations — it is intentionally NOT included here. Tell me if you want a Competitor campaign drafted and I'll build it as its own tab.</t>
  </si>
  <si>
    <t xml:space="preserve">Source data</t>
  </si>
  <si>
    <t xml:space="preserve">Keyword popularity: usa_search_ads.tsv / uk_search_ads.tsv / canada_search_ads.tsv (your Apple Search Ads keyword-tool exports).</t>
  </si>
  <si>
    <t xml:space="preserve">Ad group theming cross-checked against: Master SEO Keywords Google Sheet and Bluom's live site navigation (Fuel/Move/Plans/Wellness/Women/Tools).</t>
  </si>
  <si>
    <t xml:space="preserve">Campaign Plan — structure to build in Apple Search Ads Campaign Manager</t>
  </si>
  <si>
    <t xml:space="preserve">One Advanced campaign per country (USA, UK, Canada), each containing these ad groups:</t>
  </si>
  <si>
    <t xml:space="preserve">Ad Group</t>
  </si>
  <si>
    <t xml:space="preserve">Purpose</t>
  </si>
  <si>
    <t xml:space="preserve">Search Match</t>
  </si>
  <si>
    <t xml:space="preserve">Notes</t>
  </si>
  <si>
    <t xml:space="preserve">Brand</t>
  </si>
  <si>
    <t xml:space="preserve">Protects 'bluom' / 'bluom app' / 'bluom health os' from competitors bidding on your own name.</t>
  </si>
  <si>
    <t xml:space="preserve">Off</t>
  </si>
  <si>
    <t xml:space="preserve">Not in your keyword export — add manually. Bid low ($0.25–$0.50); no real competition expected on your own name.</t>
  </si>
  <si>
    <t xml:space="preserve">Discovery</t>
  </si>
  <si>
    <t xml:space="preserve">Search Match ON, zero explicit keywords — lets Apple's algorithm surface new relevant search terms you haven't thought of.</t>
  </si>
  <si>
    <t xml:space="preserve">On</t>
  </si>
  <si>
    <t xml:space="preserve">Review its Search Term Report weekly; promote any strong performer into the matching Exact Match ad group below, then add it as a negative here so spend doesn't split.</t>
  </si>
  <si>
    <t xml:space="preserve">AI Coach &amp; Scanner</t>
  </si>
  <si>
    <t xml:space="preserve">Bluom's core differentiator — AI photo/food scanning and AI coaching.</t>
  </si>
  <si>
    <t xml:space="preserve">Highest strategic priority even where popularity scores are low — this is what makes Bluom different from MyFitnessPal-style manual loggers.</t>
  </si>
  <si>
    <t xml:space="preserve">Fuel (Nutrition)</t>
  </si>
  <si>
    <t xml:space="preserve">Food, diet, macro, meal &amp; recipe tracking.</t>
  </si>
  <si>
    <t xml:space="preserve">Largest ad group by keyword count. Watch for cannibalization between 'macro' / 'macros' / 'macro tracker' etc.</t>
  </si>
  <si>
    <t xml:space="preserve">Move (Fitness)</t>
  </si>
  <si>
    <t xml:space="preserve">Workouts, gym, running, cycling, steps.</t>
  </si>
  <si>
    <t xml:space="preserve">Broad category — high competition on head terms like 'workout' and 'gym'.</t>
  </si>
  <si>
    <t xml:space="preserve">Plans (Habits)</t>
  </si>
  <si>
    <t xml:space="preserve">Habit building, motivation, planning.</t>
  </si>
  <si>
    <t xml:space="preserve">'tracker' alone lives here and is very generic — consider dropping or tight negatives.</t>
  </si>
  <si>
    <t xml:space="preserve">Wellness (Mind &amp; Sleep)</t>
  </si>
  <si>
    <t xml:space="preserve">Sleep, meditation, brain training, hydration.</t>
  </si>
  <si>
    <t xml:space="preserve">'health' is a broad head term here — cap budget and monitor CPA.</t>
  </si>
  <si>
    <t xml:space="preserve">Women's Health</t>
  </si>
  <si>
    <t xml:space="preserve">Period, cycle, ovulation, PCOS.</t>
  </si>
  <si>
    <t xml:space="preserve">High-relevance, underserved category in most fitness-app advertising — good differentiation opportunity.</t>
  </si>
  <si>
    <t xml:space="preserve">Fasting &amp; Metabolic</t>
  </si>
  <si>
    <t xml:space="preserve">Fasting, keto, glucose, insulin.</t>
  </si>
  <si>
    <t xml:space="preserve">Matches your Fasting blog content pillar — keep ad copy and landing consistent with that content.</t>
  </si>
  <si>
    <t xml:space="preserve">Tools (Calculators)</t>
  </si>
  <si>
    <t xml:space="preserve">BMI and nutrition calculators.</t>
  </si>
  <si>
    <t xml:space="preserve">Smallest group; low volume across all three markets but cheap and high-intent.</t>
  </si>
  <si>
    <t xml:space="preserve">Not included (flag for Jorge):</t>
  </si>
  <si>
    <t xml:space="preserve">• Competitor campaign (MyFitnessPal, Lose It, Noom, Zero, Fitbit, etc.) — deliberate call, tell me if you want it drafted.</t>
  </si>
  <si>
    <t xml:space="preserve">• Localized (non-English) ad groups for these three markets — your keyword export was English-only. The Master SEO Keywords sheet's 'ASO Clean + New Markets' tab has German/Dutch/French/etc. data if you want a Europe pass next.</t>
  </si>
  <si>
    <t xml:space="preserve">Bid Tiers — edit the yellow cells; every country tab recalculates automatically</t>
  </si>
  <si>
    <t xml:space="preserve">Tier</t>
  </si>
  <si>
    <t xml:space="preserve">Min Score</t>
  </si>
  <si>
    <t xml:space="preserve">Max Score</t>
  </si>
  <si>
    <t xml:space="preserve">Sugg. Min CPT ($)</t>
  </si>
  <si>
    <t xml:space="preserve">Sugg. Max CPT ($)</t>
  </si>
  <si>
    <t xml:space="preserve">Description</t>
  </si>
  <si>
    <t xml:space="preserve">Tier D — Below Threshold (&lt;5)</t>
  </si>
  <si>
    <t xml:space="preserve">Apple's own '&lt;5' floor value — negligible reported popularity, but cheap and low-competition. Good Discovery/testing candidates.</t>
  </si>
  <si>
    <t xml:space="preserve">Tier C — Long-Tail</t>
  </si>
  <si>
    <t xml:space="preserve">Real but low popularity. High relevance, low competition — often the best cost-per-install in the account.</t>
  </si>
  <si>
    <t xml:space="preserve">Tier B — Mid Volume</t>
  </si>
  <si>
    <t xml:space="preserve">Moderate competition. Solid steady-volume terms.</t>
  </si>
  <si>
    <t xml:space="preserve">Tier A — Head Term</t>
  </si>
  <si>
    <t xml:space="preserve">Highest popularity, highest competition. Cap budget and watch CPA closely.</t>
  </si>
  <si>
    <t xml:space="preserve">Yellow cells are the only inputs meant to be edited on this whole workbook.</t>
  </si>
  <si>
    <t xml:space="preserve">Bluom — Apple Search Ads — USA</t>
  </si>
  <si>
    <t xml:space="preserve">Draft ad group / keyword / bid structure. Edit Match Type or Notes freely — Tier and Suggested Max CPT are formulas pulling from the 'Bid Tiers' tab.</t>
  </si>
  <si>
    <t xml:space="preserve">Keyword</t>
  </si>
  <si>
    <t xml:space="preserve">Match Type</t>
  </si>
  <si>
    <t xml:space="preserve">Popularity Score</t>
  </si>
  <si>
    <t xml:space="preserve">Suggested Max CPT ($)</t>
  </si>
  <si>
    <t xml:space="preserve">bluom</t>
  </si>
  <si>
    <t xml:space="preserve">Exact</t>
  </si>
  <si>
    <t xml:space="preserve">—</t>
  </si>
  <si>
    <t xml:space="preserve">Defensive brand term — no organic competition expected.</t>
  </si>
  <si>
    <t xml:space="preserve">bluom app</t>
  </si>
  <si>
    <t xml:space="preserve">Defensive brand term.</t>
  </si>
  <si>
    <t xml:space="preserve">bluom health os</t>
  </si>
  <si>
    <t xml:space="preserve">Defensive brand term — matches your new positioning line.</t>
  </si>
  <si>
    <t xml:space="preserve">[Search Match ON — no explicit keywords]</t>
  </si>
  <si>
    <t xml:space="preserve">Let Apple surface new search terms; review weekly and graduate winners into the matching Exact Match group.</t>
  </si>
  <si>
    <t xml:space="preserve">ai fitness</t>
  </si>
  <si>
    <t xml:space="preserve">AI Calorie</t>
  </si>
  <si>
    <t xml:space="preserve">AI Calories</t>
  </si>
  <si>
    <t xml:space="preserve">AI nutrition</t>
  </si>
  <si>
    <t xml:space="preserve">ai food</t>
  </si>
  <si>
    <t xml:space="preserve">meal scanner</t>
  </si>
  <si>
    <t xml:space="preserve">ai coach</t>
  </si>
  <si>
    <t xml:space="preserve">scanner</t>
  </si>
  <si>
    <t xml:space="preserve">Broad head term for the AI photo/food scanning feature — Bluom's core differentiator. Worth the higher bid.</t>
  </si>
  <si>
    <t xml:space="preserve">food scanner</t>
  </si>
  <si>
    <t xml:space="preserve">photo calorie</t>
  </si>
  <si>
    <t xml:space="preserve">nutrition scanner</t>
  </si>
  <si>
    <t xml:space="preserve">food</t>
  </si>
  <si>
    <t xml:space="preserve">diet</t>
  </si>
  <si>
    <t xml:space="preserve">weight</t>
  </si>
  <si>
    <t xml:space="preserve">protein</t>
  </si>
  <si>
    <t xml:space="preserve">eating</t>
  </si>
  <si>
    <t xml:space="preserve">macro</t>
  </si>
  <si>
    <t xml:space="preserve">macros</t>
  </si>
  <si>
    <t xml:space="preserve">macros tracker</t>
  </si>
  <si>
    <t xml:space="preserve">macro tracker</t>
  </si>
  <si>
    <t xml:space="preserve">meal tracker</t>
  </si>
  <si>
    <t xml:space="preserve">meal tracker free</t>
  </si>
  <si>
    <t xml:space="preserve">plan personalizado</t>
  </si>
  <si>
    <t xml:space="preserve">Spanish-language query appearing in English-market data — likely Hispanic/bilingual searchers. Keep for USA; re-check relevance for UK/Canada before activating.</t>
  </si>
  <si>
    <t xml:space="preserve">nutrition plan</t>
  </si>
  <si>
    <t xml:space="preserve">cooking</t>
  </si>
  <si>
    <t xml:space="preserve">recipes</t>
  </si>
  <si>
    <t xml:space="preserve">meals</t>
  </si>
  <si>
    <t xml:space="preserve">cook</t>
  </si>
  <si>
    <t xml:space="preserve">dinner</t>
  </si>
  <si>
    <t xml:space="preserve">breakfast</t>
  </si>
  <si>
    <t xml:space="preserve">lunch</t>
  </si>
  <si>
    <t xml:space="preserve">prep</t>
  </si>
  <si>
    <t xml:space="preserve">carb counter</t>
  </si>
  <si>
    <t xml:space="preserve">meal prep</t>
  </si>
  <si>
    <t xml:space="preserve">grocery list</t>
  </si>
  <si>
    <t xml:space="preserve">nutrition</t>
  </si>
  <si>
    <t xml:space="preserve">nutrition tracker free app</t>
  </si>
  <si>
    <t xml:space="preserve">nutrition tracker</t>
  </si>
  <si>
    <t xml:space="preserve">workout</t>
  </si>
  <si>
    <t xml:space="preserve">gym</t>
  </si>
  <si>
    <t xml:space="preserve">run</t>
  </si>
  <si>
    <t xml:space="preserve">exercise</t>
  </si>
  <si>
    <t xml:space="preserve">exercises</t>
  </si>
  <si>
    <t xml:space="preserve">GPS Fitness</t>
  </si>
  <si>
    <t xml:space="preserve">sport</t>
  </si>
  <si>
    <t xml:space="preserve">fitness plan</t>
  </si>
  <si>
    <t xml:space="preserve">fitness plans</t>
  </si>
  <si>
    <t xml:space="preserve">crossfit</t>
  </si>
  <si>
    <t xml:space="preserve">pilates</t>
  </si>
  <si>
    <t xml:space="preserve">cycling</t>
  </si>
  <si>
    <t xml:space="preserve">cycling tracker</t>
  </si>
  <si>
    <t xml:space="preserve">yoga</t>
  </si>
  <si>
    <t xml:space="preserve">bodybuilding</t>
  </si>
  <si>
    <t xml:space="preserve">steps</t>
  </si>
  <si>
    <t xml:space="preserve">lifting</t>
  </si>
  <si>
    <t xml:space="preserve">hypertrophy</t>
  </si>
  <si>
    <t xml:space="preserve">calisthenics</t>
  </si>
  <si>
    <t xml:space="preserve">workout planner</t>
  </si>
  <si>
    <t xml:space="preserve">gym log</t>
  </si>
  <si>
    <t xml:space="preserve">lifting tracker</t>
  </si>
  <si>
    <t xml:space="preserve">strength training</t>
  </si>
  <si>
    <t xml:space="preserve">bodyweight workout</t>
  </si>
  <si>
    <t xml:space="preserve">hiit timer</t>
  </si>
  <si>
    <t xml:space="preserve">muscle builder</t>
  </si>
  <si>
    <t xml:space="preserve">step counter</t>
  </si>
  <si>
    <t xml:space="preserve">habit</t>
  </si>
  <si>
    <t xml:space="preserve">habits</t>
  </si>
  <si>
    <t xml:space="preserve">tracker</t>
  </si>
  <si>
    <t xml:space="preserve">Very generic — high cannibalization risk with every '&lt;x&gt; tracker' keyword below. Consider Broad Match with tight negatives, or drop in favor of the specific tracker terms.</t>
  </si>
  <si>
    <t xml:space="preserve">Habit tracker</t>
  </si>
  <si>
    <t xml:space="preserve">motivation</t>
  </si>
  <si>
    <t xml:space="preserve">planner</t>
  </si>
  <si>
    <t xml:space="preserve">sleep</t>
  </si>
  <si>
    <t xml:space="preserve">meditation</t>
  </si>
  <si>
    <t xml:space="preserve">health</t>
  </si>
  <si>
    <t xml:space="preserve">Broad head term, high competition expected. Monitor CPA closely; cap ad group budget.</t>
  </si>
  <si>
    <t xml:space="preserve">brain games</t>
  </si>
  <si>
    <t xml:space="preserve">cognitive games</t>
  </si>
  <si>
    <t xml:space="preserve">brain training</t>
  </si>
  <si>
    <t xml:space="preserve">brain</t>
  </si>
  <si>
    <t xml:space="preserve">healthy</t>
  </si>
  <si>
    <t xml:space="preserve">hydration</t>
  </si>
  <si>
    <t xml:space="preserve">water reminder</t>
  </si>
  <si>
    <t xml:space="preserve">hydration tracker</t>
  </si>
  <si>
    <t xml:space="preserve">period</t>
  </si>
  <si>
    <t xml:space="preserve">women's health</t>
  </si>
  <si>
    <t xml:space="preserve">women health</t>
  </si>
  <si>
    <t xml:space="preserve">women</t>
  </si>
  <si>
    <t xml:space="preserve">mestruation</t>
  </si>
  <si>
    <t xml:space="preserve">Misspelling of 'menstruation' as reported by Apple's keyword tool — kept verbatim since this is literally what people type; do not autocorrect when entering into Campaign Manager.</t>
  </si>
  <si>
    <t xml:space="preserve">Cycle</t>
  </si>
  <si>
    <t xml:space="preserve">luteal</t>
  </si>
  <si>
    <t xml:space="preserve">ovulation</t>
  </si>
  <si>
    <t xml:space="preserve">pcos</t>
  </si>
  <si>
    <t xml:space="preserve">pcos tracker</t>
  </si>
  <si>
    <t xml:space="preserve">fasting</t>
  </si>
  <si>
    <t xml:space="preserve">keto</t>
  </si>
  <si>
    <t xml:space="preserve">ketosis</t>
  </si>
  <si>
    <t xml:space="preserve">glucose</t>
  </si>
  <si>
    <t xml:space="preserve">insulin</t>
  </si>
  <si>
    <t xml:space="preserve">glucose tracker</t>
  </si>
  <si>
    <t xml:space="preserve">keto tracker</t>
  </si>
  <si>
    <t xml:space="preserve">bmi</t>
  </si>
  <si>
    <t xml:space="preserve">bmi calculator</t>
  </si>
  <si>
    <t xml:space="preserve">nutrition calculator</t>
  </si>
  <si>
    <t xml:space="preserve">Bluom — Apple Search Ads — UK</t>
  </si>
  <si>
    <t xml:space="preserve">Bluom — Apple Search Ads — Canada</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</si>
</sst>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2"/>
      <color rgb="FF1F4E78"/>
      <name val="Arial"/>
      <family val="0"/>
      <charset val="1"/>
    </font>
    <font>
      <sz val="10"/>
      <name val="Arial"/>
      <family val="0"/>
      <charset val="1"/>
    </font>
    <font>
      <b val="true"/>
      <sz val="11"/>
      <color rgb="FFFFFFFF"/>
      <name val="Arial"/>
      <family val="0"/>
      <charset val="1"/>
    </font>
    <font>
      <b val="true"/>
      <sz val="10"/>
      <name val="Arial"/>
      <family val="0"/>
      <charset val="1"/>
    </font>
    <font>
      <i val="true"/>
      <sz val="9"/>
      <color rgb="FF80808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E2EFDA"/>
        <bgColor rgb="FFD9E1F2"/>
      </patternFill>
    </fill>
    <fill>
      <patternFill patternType="solid">
        <fgColor rgb="FFFCE4D6"/>
        <bgColor rgb="FFFFF2CC"/>
      </patternFill>
    </fill>
    <fill>
      <patternFill patternType="solid">
        <fgColor rgb="FFFFF2CC"/>
        <bgColor rgb="FFFCE4D6"/>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75" hidden="false" customHeight="true" outlineLevel="0" collapsed="false">
      <c r="A5" s="4" t="s">
        <v>3</v>
      </c>
    </row>
    <row r="7" customFormat="false" ht="15" hidden="false" customHeight="false" outlineLevel="0" collapsed="false">
      <c r="A7" s="3" t="s">
        <v>4</v>
      </c>
    </row>
    <row r="8" customFormat="false" ht="30" hidden="false" customHeight="true" outlineLevel="0" collapsed="false">
      <c r="A8" s="4" t="s">
        <v>5</v>
      </c>
    </row>
    <row r="9" customFormat="false" ht="30" hidden="false" customHeight="true" outlineLevel="0" collapsed="false">
      <c r="A9" s="4" t="s">
        <v>6</v>
      </c>
    </row>
    <row r="10" customFormat="false" ht="30" hidden="false" customHeight="true" outlineLevel="0" collapsed="false">
      <c r="A10" s="4" t="s">
        <v>7</v>
      </c>
    </row>
    <row r="11" customFormat="false" ht="30" hidden="false" customHeight="true" outlineLevel="0" collapsed="false">
      <c r="A11" s="4" t="s">
        <v>8</v>
      </c>
    </row>
    <row r="13" customFormat="false" ht="15" hidden="false" customHeight="false" outlineLevel="0" collapsed="false">
      <c r="A13" s="3" t="s">
        <v>9</v>
      </c>
    </row>
    <row r="14" customFormat="false" ht="60" hidden="false" customHeight="true" outlineLevel="0" collapsed="false">
      <c r="A14" s="4" t="s">
        <v>10</v>
      </c>
    </row>
    <row r="15" customFormat="false" ht="45" hidden="false" customHeight="true" outlineLevel="0" collapsed="false">
      <c r="A15" s="4" t="s">
        <v>11</v>
      </c>
    </row>
    <row r="16" customFormat="false" ht="30" hidden="false" customHeight="true" outlineLevel="0" collapsed="false">
      <c r="A16" s="4" t="s">
        <v>12</v>
      </c>
    </row>
    <row r="17" customFormat="false" ht="60" hidden="false" customHeight="true" outlineLevel="0" collapsed="false">
      <c r="A17" s="4" t="s">
        <v>13</v>
      </c>
    </row>
    <row r="19" customFormat="false" ht="15" hidden="false" customHeight="false" outlineLevel="0" collapsed="false">
      <c r="A19" s="3" t="s">
        <v>14</v>
      </c>
    </row>
    <row r="20" customFormat="false" ht="30" hidden="false" customHeight="true" outlineLevel="0" collapsed="false">
      <c r="A20" s="4" t="s">
        <v>15</v>
      </c>
    </row>
    <row r="21" customFormat="false" ht="30" hidden="false" customHeight="true" outlineLevel="0" collapsed="false">
      <c r="A21"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4"/>
    <col collapsed="false" customWidth="true" hidden="false" outlineLevel="0" max="4" min="4" style="0" width="46"/>
  </cols>
  <sheetData>
    <row r="1" customFormat="false" ht="19.7" hidden="false" customHeight="false" outlineLevel="0" collapsed="false">
      <c r="A1" s="1" t="s">
        <v>17</v>
      </c>
    </row>
    <row r="3" customFormat="false" ht="15" hidden="false" customHeight="false" outlineLevel="0" collapsed="false">
      <c r="A3" s="5" t="s">
        <v>18</v>
      </c>
    </row>
    <row r="5" customFormat="false" ht="26.85" hidden="false" customHeight="false" outlineLevel="0" collapsed="false">
      <c r="A5" s="6" t="s">
        <v>19</v>
      </c>
      <c r="B5" s="6" t="s">
        <v>20</v>
      </c>
      <c r="C5" s="6" t="s">
        <v>21</v>
      </c>
      <c r="D5" s="6" t="s">
        <v>22</v>
      </c>
    </row>
    <row r="6" customFormat="false" ht="31.5" hidden="false" customHeight="true" outlineLevel="0" collapsed="false">
      <c r="A6" s="7" t="s">
        <v>23</v>
      </c>
      <c r="B6" s="8" t="s">
        <v>24</v>
      </c>
      <c r="C6" s="9" t="s">
        <v>25</v>
      </c>
      <c r="D6" s="8" t="s">
        <v>26</v>
      </c>
    </row>
    <row r="7" customFormat="false" ht="31.5" hidden="false" customHeight="true" outlineLevel="0" collapsed="false">
      <c r="A7" s="10" t="s">
        <v>27</v>
      </c>
      <c r="B7" s="11" t="s">
        <v>28</v>
      </c>
      <c r="C7" s="12" t="s">
        <v>29</v>
      </c>
      <c r="D7" s="11" t="s">
        <v>30</v>
      </c>
    </row>
    <row r="8" customFormat="false" ht="31.5" hidden="false" customHeight="true" outlineLevel="0" collapsed="false">
      <c r="A8" s="13" t="s">
        <v>31</v>
      </c>
      <c r="B8" s="14" t="s">
        <v>32</v>
      </c>
      <c r="C8" s="15" t="s">
        <v>25</v>
      </c>
      <c r="D8" s="14" t="s">
        <v>33</v>
      </c>
    </row>
    <row r="9" customFormat="false" ht="31.5" hidden="false" customHeight="true" outlineLevel="0" collapsed="false">
      <c r="A9" s="13" t="s">
        <v>34</v>
      </c>
      <c r="B9" s="14" t="s">
        <v>35</v>
      </c>
      <c r="C9" s="15" t="s">
        <v>25</v>
      </c>
      <c r="D9" s="14" t="s">
        <v>36</v>
      </c>
    </row>
    <row r="10" customFormat="false" ht="31.5" hidden="false" customHeight="true" outlineLevel="0" collapsed="false">
      <c r="A10" s="13" t="s">
        <v>37</v>
      </c>
      <c r="B10" s="14" t="s">
        <v>38</v>
      </c>
      <c r="C10" s="15" t="s">
        <v>25</v>
      </c>
      <c r="D10" s="14" t="s">
        <v>39</v>
      </c>
    </row>
    <row r="11" customFormat="false" ht="31.5" hidden="false" customHeight="true" outlineLevel="0" collapsed="false">
      <c r="A11" s="13" t="s">
        <v>40</v>
      </c>
      <c r="B11" s="14" t="s">
        <v>41</v>
      </c>
      <c r="C11" s="15" t="s">
        <v>25</v>
      </c>
      <c r="D11" s="14" t="s">
        <v>42</v>
      </c>
    </row>
    <row r="12" customFormat="false" ht="31.5" hidden="false" customHeight="true" outlineLevel="0" collapsed="false">
      <c r="A12" s="13" t="s">
        <v>43</v>
      </c>
      <c r="B12" s="14" t="s">
        <v>44</v>
      </c>
      <c r="C12" s="15" t="s">
        <v>25</v>
      </c>
      <c r="D12" s="14" t="s">
        <v>45</v>
      </c>
    </row>
    <row r="13" customFormat="false" ht="31.5" hidden="false" customHeight="true" outlineLevel="0" collapsed="false">
      <c r="A13" s="13" t="s">
        <v>46</v>
      </c>
      <c r="B13" s="14" t="s">
        <v>47</v>
      </c>
      <c r="C13" s="15" t="s">
        <v>25</v>
      </c>
      <c r="D13" s="14" t="s">
        <v>48</v>
      </c>
    </row>
    <row r="14" customFormat="false" ht="31.5" hidden="false" customHeight="true" outlineLevel="0" collapsed="false">
      <c r="A14" s="13" t="s">
        <v>49</v>
      </c>
      <c r="B14" s="14" t="s">
        <v>50</v>
      </c>
      <c r="C14" s="15" t="s">
        <v>25</v>
      </c>
      <c r="D14" s="14" t="s">
        <v>51</v>
      </c>
    </row>
    <row r="15" customFormat="false" ht="31.5" hidden="false" customHeight="true" outlineLevel="0" collapsed="false">
      <c r="A15" s="13" t="s">
        <v>52</v>
      </c>
      <c r="B15" s="14" t="s">
        <v>53</v>
      </c>
      <c r="C15" s="15" t="s">
        <v>25</v>
      </c>
      <c r="D15" s="14" t="s">
        <v>54</v>
      </c>
    </row>
    <row r="17" customFormat="false" ht="15" hidden="false" customHeight="false" outlineLevel="0" collapsed="false">
      <c r="A17" s="3" t="s">
        <v>55</v>
      </c>
    </row>
    <row r="18" customFormat="false" ht="57.45" hidden="false" customHeight="false" outlineLevel="0" collapsed="false">
      <c r="A18" s="4" t="s">
        <v>56</v>
      </c>
    </row>
    <row r="19" customFormat="false" ht="124.6" hidden="false" customHeight="false" outlineLevel="0" collapsed="false">
      <c r="A19" s="4"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5" min="4" style="0" width="16"/>
    <col collapsed="false" customWidth="true" hidden="false" outlineLevel="0" max="6" min="6" style="0" width="46"/>
  </cols>
  <sheetData>
    <row r="1" customFormat="false" ht="19.7" hidden="false" customHeight="false" outlineLevel="0" collapsed="false">
      <c r="A1" s="1" t="s">
        <v>58</v>
      </c>
    </row>
    <row r="3" customFormat="false" ht="26.85" hidden="false" customHeight="false" outlineLevel="0" collapsed="false">
      <c r="A3" s="6" t="s">
        <v>59</v>
      </c>
      <c r="B3" s="6" t="s">
        <v>60</v>
      </c>
      <c r="C3" s="6" t="s">
        <v>61</v>
      </c>
      <c r="D3" s="6" t="s">
        <v>62</v>
      </c>
      <c r="E3" s="6" t="s">
        <v>63</v>
      </c>
      <c r="F3" s="6" t="s">
        <v>64</v>
      </c>
    </row>
    <row r="4" customFormat="false" ht="30" hidden="false" customHeight="true" outlineLevel="0" collapsed="false">
      <c r="A4" s="13" t="s">
        <v>65</v>
      </c>
      <c r="B4" s="16" t="n">
        <v>0</v>
      </c>
      <c r="C4" s="16" t="n">
        <v>5</v>
      </c>
      <c r="D4" s="17" t="n">
        <v>0.3</v>
      </c>
      <c r="E4" s="17" t="n">
        <v>0.6</v>
      </c>
      <c r="F4" s="14" t="s">
        <v>66</v>
      </c>
    </row>
    <row r="5" customFormat="false" ht="30" hidden="false" customHeight="true" outlineLevel="0" collapsed="false">
      <c r="A5" s="13" t="s">
        <v>67</v>
      </c>
      <c r="B5" s="16" t="n">
        <v>6</v>
      </c>
      <c r="C5" s="16" t="n">
        <v>19</v>
      </c>
      <c r="D5" s="17" t="n">
        <v>0.5</v>
      </c>
      <c r="E5" s="17" t="n">
        <v>0.9</v>
      </c>
      <c r="F5" s="14" t="s">
        <v>68</v>
      </c>
    </row>
    <row r="6" customFormat="false" ht="30" hidden="false" customHeight="true" outlineLevel="0" collapsed="false">
      <c r="A6" s="13" t="s">
        <v>69</v>
      </c>
      <c r="B6" s="16" t="n">
        <v>20</v>
      </c>
      <c r="C6" s="16" t="n">
        <v>44</v>
      </c>
      <c r="D6" s="17" t="n">
        <v>0.8</v>
      </c>
      <c r="E6" s="17" t="n">
        <v>1.5</v>
      </c>
      <c r="F6" s="14" t="s">
        <v>70</v>
      </c>
    </row>
    <row r="7" customFormat="false" ht="30" hidden="false" customHeight="true" outlineLevel="0" collapsed="false">
      <c r="A7" s="13" t="s">
        <v>71</v>
      </c>
      <c r="B7" s="16" t="n">
        <v>45</v>
      </c>
      <c r="C7" s="16" t="n">
        <v>100</v>
      </c>
      <c r="D7" s="17" t="n">
        <v>1.5</v>
      </c>
      <c r="E7" s="17" t="n">
        <v>3</v>
      </c>
      <c r="F7" s="14" t="s">
        <v>72</v>
      </c>
    </row>
    <row r="9" customFormat="false" ht="15" hidden="false" customHeight="false" outlineLevel="0" collapsed="false">
      <c r="A9" s="18"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2"/>
    <col collapsed="false" customWidth="true" hidden="false" outlineLevel="0" max="4" min="4" style="0" width="14"/>
    <col collapsed="false" customWidth="true" hidden="false" outlineLevel="0" max="5" min="5" style="0" width="24"/>
    <col collapsed="false" customWidth="true" hidden="false" outlineLevel="0" max="6" min="6" style="0" width="16"/>
    <col collapsed="false" customWidth="true" hidden="false" outlineLevel="0" max="7" min="7" style="0" width="50"/>
  </cols>
  <sheetData>
    <row r="1" customFormat="false" ht="19.7" hidden="false" customHeight="false" outlineLevel="0" collapsed="false">
      <c r="A1" s="1" t="s">
        <v>74</v>
      </c>
    </row>
    <row r="2" customFormat="false" ht="15" hidden="false" customHeight="false" outlineLevel="0" collapsed="false">
      <c r="A2" s="2" t="s">
        <v>75</v>
      </c>
    </row>
    <row r="3" customFormat="false" ht="26.85" hidden="false" customHeight="false" outlineLevel="0" collapsed="false">
      <c r="A3" s="6" t="s">
        <v>19</v>
      </c>
      <c r="B3" s="6" t="s">
        <v>76</v>
      </c>
      <c r="C3" s="6" t="s">
        <v>77</v>
      </c>
      <c r="D3" s="6" t="s">
        <v>78</v>
      </c>
      <c r="E3" s="6" t="s">
        <v>59</v>
      </c>
      <c r="F3" s="6" t="s">
        <v>79</v>
      </c>
      <c r="G3" s="6" t="s">
        <v>22</v>
      </c>
    </row>
    <row r="4" customFormat="false" ht="15" hidden="false" customHeight="false" outlineLevel="0" collapsed="false">
      <c r="A4" s="7" t="s">
        <v>23</v>
      </c>
      <c r="B4" s="19" t="s">
        <v>80</v>
      </c>
      <c r="C4" s="19" t="s">
        <v>81</v>
      </c>
      <c r="D4" s="9" t="s">
        <v>82</v>
      </c>
      <c r="E4" s="19" t="s">
        <v>23</v>
      </c>
      <c r="F4" s="20" t="n">
        <v>0.4</v>
      </c>
      <c r="G4" s="8" t="s">
        <v>83</v>
      </c>
    </row>
    <row r="5" customFormat="false" ht="15" hidden="false" customHeight="false" outlineLevel="0" collapsed="false">
      <c r="A5" s="7" t="s">
        <v>23</v>
      </c>
      <c r="B5" s="19" t="s">
        <v>84</v>
      </c>
      <c r="C5" s="19" t="s">
        <v>81</v>
      </c>
      <c r="D5" s="9" t="s">
        <v>82</v>
      </c>
      <c r="E5" s="19" t="s">
        <v>23</v>
      </c>
      <c r="F5" s="20" t="n">
        <v>0.4</v>
      </c>
      <c r="G5" s="8" t="s">
        <v>85</v>
      </c>
    </row>
    <row r="6" customFormat="false" ht="15" hidden="false" customHeight="false" outlineLevel="0" collapsed="false">
      <c r="A6" s="7" t="s">
        <v>23</v>
      </c>
      <c r="B6" s="19" t="s">
        <v>86</v>
      </c>
      <c r="C6" s="19" t="s">
        <v>81</v>
      </c>
      <c r="D6" s="9" t="s">
        <v>82</v>
      </c>
      <c r="E6" s="19" t="s">
        <v>23</v>
      </c>
      <c r="F6" s="20" t="n">
        <v>0.4</v>
      </c>
      <c r="G6" s="8" t="s">
        <v>87</v>
      </c>
    </row>
    <row r="7" customFormat="false" ht="23.85" hidden="false" customHeight="false" outlineLevel="0" collapsed="false">
      <c r="A7" s="10" t="s">
        <v>27</v>
      </c>
      <c r="B7" s="21" t="s">
        <v>88</v>
      </c>
      <c r="C7" s="21" t="s">
        <v>21</v>
      </c>
      <c r="D7" s="12" t="s">
        <v>82</v>
      </c>
      <c r="E7" s="12" t="s">
        <v>82</v>
      </c>
      <c r="F7" s="22" t="n">
        <v>0.5</v>
      </c>
      <c r="G7" s="11" t="s">
        <v>89</v>
      </c>
    </row>
    <row r="8" customFormat="false" ht="15" hidden="false" customHeight="false" outlineLevel="0" collapsed="false">
      <c r="A8" s="23" t="s">
        <v>31</v>
      </c>
      <c r="B8" s="24" t="s">
        <v>90</v>
      </c>
      <c r="C8" s="24" t="s">
        <v>81</v>
      </c>
      <c r="D8" s="15" t="n">
        <v>5</v>
      </c>
      <c r="E8" s="24" t="str">
        <f aca="false">IF(D8="","No Data",INDEX('Bid Tiers'!$A$4:$A$7,MATCH(D8,'Bid Tiers'!$B$4:$B$7,1)))</f>
        <v>Tier D — Below Threshold (&lt;5)</v>
      </c>
      <c r="F8" s="25" t="n">
        <f aca="false">IF(D8="",0.3,INDEX('Bid Tiers'!$E$4:$E$7,MATCH(D8,'Bid Tiers'!$B$4:$B$7,1)))</f>
        <v>0.6</v>
      </c>
      <c r="G8" s="14"/>
    </row>
    <row r="9" customFormat="false" ht="15" hidden="false" customHeight="false" outlineLevel="0" collapsed="false">
      <c r="A9" s="23" t="s">
        <v>31</v>
      </c>
      <c r="B9" s="24" t="s">
        <v>91</v>
      </c>
      <c r="C9" s="24" t="s">
        <v>81</v>
      </c>
      <c r="D9" s="15" t="n">
        <v>5</v>
      </c>
      <c r="E9" s="24" t="str">
        <f aca="false">IF(D9="","No Data",INDEX('Bid Tiers'!$A$4:$A$7,MATCH(D9,'Bid Tiers'!$B$4:$B$7,1)))</f>
        <v>Tier D — Below Threshold (&lt;5)</v>
      </c>
      <c r="F9" s="25" t="n">
        <f aca="false">IF(D9="",0.3,INDEX('Bid Tiers'!$E$4:$E$7,MATCH(D9,'Bid Tiers'!$B$4:$B$7,1)))</f>
        <v>0.6</v>
      </c>
      <c r="G9" s="14"/>
    </row>
    <row r="10" customFormat="false" ht="15" hidden="false" customHeight="false" outlineLevel="0" collapsed="false">
      <c r="A10" s="23" t="s">
        <v>31</v>
      </c>
      <c r="B10" s="24" t="s">
        <v>92</v>
      </c>
      <c r="C10" s="24" t="s">
        <v>81</v>
      </c>
      <c r="D10" s="15" t="n">
        <v>5</v>
      </c>
      <c r="E10" s="24" t="str">
        <f aca="false">IF(D10="","No Data",INDEX('Bid Tiers'!$A$4:$A$7,MATCH(D10,'Bid Tiers'!$B$4:$B$7,1)))</f>
        <v>Tier D — Below Threshold (&lt;5)</v>
      </c>
      <c r="F10" s="25" t="n">
        <f aca="false">IF(D10="",0.3,INDEX('Bid Tiers'!$E$4:$E$7,MATCH(D10,'Bid Tiers'!$B$4:$B$7,1)))</f>
        <v>0.6</v>
      </c>
      <c r="G10" s="14"/>
    </row>
    <row r="11" customFormat="false" ht="15" hidden="false" customHeight="false" outlineLevel="0" collapsed="false">
      <c r="A11" s="23" t="s">
        <v>31</v>
      </c>
      <c r="B11" s="24" t="s">
        <v>93</v>
      </c>
      <c r="C11" s="24" t="s">
        <v>81</v>
      </c>
      <c r="D11" s="15"/>
      <c r="E11" s="24" t="str">
        <f aca="false">IF(D11="","No Data",INDEX('Bid Tiers'!$A$4:$A$7,MATCH(D11,'Bid Tiers'!$B$4:$B$7,1)))</f>
        <v>No Data</v>
      </c>
      <c r="F11" s="25" t="n">
        <f aca="false">IF(D11="",0.3,INDEX('Bid Tiers'!$E$4:$E$7,MATCH(D11,'Bid Tiers'!$B$4:$B$7,1)))</f>
        <v>0.3</v>
      </c>
      <c r="G11" s="14"/>
    </row>
    <row r="12" customFormat="false" ht="15" hidden="false" customHeight="false" outlineLevel="0" collapsed="false">
      <c r="A12" s="23" t="s">
        <v>31</v>
      </c>
      <c r="B12" s="24" t="s">
        <v>94</v>
      </c>
      <c r="C12" s="24" t="s">
        <v>81</v>
      </c>
      <c r="D12" s="15"/>
      <c r="E12" s="24" t="str">
        <f aca="false">IF(D12="","No Data",INDEX('Bid Tiers'!$A$4:$A$7,MATCH(D12,'Bid Tiers'!$B$4:$B$7,1)))</f>
        <v>No Data</v>
      </c>
      <c r="F12" s="25" t="n">
        <f aca="false">IF(D12="",0.3,INDEX('Bid Tiers'!$E$4:$E$7,MATCH(D12,'Bid Tiers'!$B$4:$B$7,1)))</f>
        <v>0.3</v>
      </c>
      <c r="G12" s="14"/>
    </row>
    <row r="13" customFormat="false" ht="15" hidden="false" customHeight="false" outlineLevel="0" collapsed="false">
      <c r="A13" s="23" t="s">
        <v>31</v>
      </c>
      <c r="B13" s="24" t="s">
        <v>95</v>
      </c>
      <c r="C13" s="24" t="s">
        <v>81</v>
      </c>
      <c r="D13" s="15" t="n">
        <v>5</v>
      </c>
      <c r="E13" s="24" t="str">
        <f aca="false">IF(D13="","No Data",INDEX('Bid Tiers'!$A$4:$A$7,MATCH(D13,'Bid Tiers'!$B$4:$B$7,1)))</f>
        <v>Tier D — Below Threshold (&lt;5)</v>
      </c>
      <c r="F13" s="25" t="n">
        <f aca="false">IF(D13="",0.3,INDEX('Bid Tiers'!$E$4:$E$7,MATCH(D13,'Bid Tiers'!$B$4:$B$7,1)))</f>
        <v>0.6</v>
      </c>
      <c r="G13" s="14"/>
    </row>
    <row r="14" customFormat="false" ht="15" hidden="false" customHeight="false" outlineLevel="0" collapsed="false">
      <c r="A14" s="23" t="s">
        <v>31</v>
      </c>
      <c r="B14" s="24" t="s">
        <v>96</v>
      </c>
      <c r="C14" s="24" t="s">
        <v>81</v>
      </c>
      <c r="D14" s="15" t="n">
        <v>5</v>
      </c>
      <c r="E14" s="24" t="str">
        <f aca="false">IF(D14="","No Data",INDEX('Bid Tiers'!$A$4:$A$7,MATCH(D14,'Bid Tiers'!$B$4:$B$7,1)))</f>
        <v>Tier D — Below Threshold (&lt;5)</v>
      </c>
      <c r="F14" s="25" t="n">
        <f aca="false">IF(D14="",0.3,INDEX('Bid Tiers'!$E$4:$E$7,MATCH(D14,'Bid Tiers'!$B$4:$B$7,1)))</f>
        <v>0.6</v>
      </c>
      <c r="G14" s="14"/>
    </row>
    <row r="15" customFormat="false" ht="23.85" hidden="false" customHeight="false" outlineLevel="0" collapsed="false">
      <c r="A15" s="23" t="s">
        <v>31</v>
      </c>
      <c r="B15" s="24" t="s">
        <v>97</v>
      </c>
      <c r="C15" s="24" t="s">
        <v>81</v>
      </c>
      <c r="D15" s="15" t="n">
        <v>61</v>
      </c>
      <c r="E15" s="24" t="str">
        <f aca="false">IF(D15="","No Data",INDEX('Bid Tiers'!$A$4:$A$7,MATCH(D15,'Bid Tiers'!$B$4:$B$7,1)))</f>
        <v>Tier A — Head Term</v>
      </c>
      <c r="F15" s="25" t="n">
        <f aca="false">IF(D15="",0.3,INDEX('Bid Tiers'!$E$4:$E$7,MATCH(D15,'Bid Tiers'!$B$4:$B$7,1)))</f>
        <v>3</v>
      </c>
      <c r="G15" s="14" t="s">
        <v>98</v>
      </c>
    </row>
    <row r="16" customFormat="false" ht="15" hidden="false" customHeight="false" outlineLevel="0" collapsed="false">
      <c r="A16" s="23" t="s">
        <v>31</v>
      </c>
      <c r="B16" s="24" t="s">
        <v>99</v>
      </c>
      <c r="C16" s="24" t="s">
        <v>81</v>
      </c>
      <c r="D16" s="15" t="n">
        <v>50</v>
      </c>
      <c r="E16" s="24" t="str">
        <f aca="false">IF(D16="","No Data",INDEX('Bid Tiers'!$A$4:$A$7,MATCH(D16,'Bid Tiers'!$B$4:$B$7,1)))</f>
        <v>Tier A — Head Term</v>
      </c>
      <c r="F16" s="25" t="n">
        <f aca="false">IF(D16="",0.3,INDEX('Bid Tiers'!$E$4:$E$7,MATCH(D16,'Bid Tiers'!$B$4:$B$7,1)))</f>
        <v>3</v>
      </c>
      <c r="G16" s="14"/>
    </row>
    <row r="17" customFormat="false" ht="15" hidden="false" customHeight="false" outlineLevel="0" collapsed="false">
      <c r="A17" s="23" t="s">
        <v>31</v>
      </c>
      <c r="B17" s="24" t="s">
        <v>100</v>
      </c>
      <c r="C17" s="24" t="s">
        <v>81</v>
      </c>
      <c r="D17" s="15" t="n">
        <v>5</v>
      </c>
      <c r="E17" s="24" t="str">
        <f aca="false">IF(D17="","No Data",INDEX('Bid Tiers'!$A$4:$A$7,MATCH(D17,'Bid Tiers'!$B$4:$B$7,1)))</f>
        <v>Tier D — Below Threshold (&lt;5)</v>
      </c>
      <c r="F17" s="25" t="n">
        <f aca="false">IF(D17="",0.3,INDEX('Bid Tiers'!$E$4:$E$7,MATCH(D17,'Bid Tiers'!$B$4:$B$7,1)))</f>
        <v>0.6</v>
      </c>
      <c r="G17" s="14"/>
    </row>
    <row r="18" customFormat="false" ht="15" hidden="false" customHeight="false" outlineLevel="0" collapsed="false">
      <c r="A18" s="23" t="s">
        <v>31</v>
      </c>
      <c r="B18" s="24" t="s">
        <v>101</v>
      </c>
      <c r="C18" s="24" t="s">
        <v>81</v>
      </c>
      <c r="D18" s="15" t="n">
        <v>5</v>
      </c>
      <c r="E18" s="24" t="str">
        <f aca="false">IF(D18="","No Data",INDEX('Bid Tiers'!$A$4:$A$7,MATCH(D18,'Bid Tiers'!$B$4:$B$7,1)))</f>
        <v>Tier D — Below Threshold (&lt;5)</v>
      </c>
      <c r="F18" s="25" t="n">
        <f aca="false">IF(D18="",0.3,INDEX('Bid Tiers'!$E$4:$E$7,MATCH(D18,'Bid Tiers'!$B$4:$B$7,1)))</f>
        <v>0.6</v>
      </c>
      <c r="G18" s="14"/>
    </row>
    <row r="19" customFormat="false" ht="15" hidden="false" customHeight="false" outlineLevel="0" collapsed="false">
      <c r="A19" s="23" t="s">
        <v>34</v>
      </c>
      <c r="B19" s="24" t="s">
        <v>102</v>
      </c>
      <c r="C19" s="24" t="s">
        <v>81</v>
      </c>
      <c r="D19" s="15" t="n">
        <v>65</v>
      </c>
      <c r="E19" s="24" t="str">
        <f aca="false">IF(D19="","No Data",INDEX('Bid Tiers'!$A$4:$A$7,MATCH(D19,'Bid Tiers'!$B$4:$B$7,1)))</f>
        <v>Tier A — Head Term</v>
      </c>
      <c r="F19" s="25" t="n">
        <f aca="false">IF(D19="",0.3,INDEX('Bid Tiers'!$E$4:$E$7,MATCH(D19,'Bid Tiers'!$B$4:$B$7,1)))</f>
        <v>3</v>
      </c>
      <c r="G19" s="14"/>
    </row>
    <row r="20" customFormat="false" ht="15" hidden="false" customHeight="false" outlineLevel="0" collapsed="false">
      <c r="A20" s="23" t="s">
        <v>34</v>
      </c>
      <c r="B20" s="24" t="s">
        <v>103</v>
      </c>
      <c r="C20" s="24" t="s">
        <v>81</v>
      </c>
      <c r="D20" s="15" t="n">
        <v>5</v>
      </c>
      <c r="E20" s="24" t="str">
        <f aca="false">IF(D20="","No Data",INDEX('Bid Tiers'!$A$4:$A$7,MATCH(D20,'Bid Tiers'!$B$4:$B$7,1)))</f>
        <v>Tier D — Below Threshold (&lt;5)</v>
      </c>
      <c r="F20" s="25" t="n">
        <f aca="false">IF(D20="",0.3,INDEX('Bid Tiers'!$E$4:$E$7,MATCH(D20,'Bid Tiers'!$B$4:$B$7,1)))</f>
        <v>0.6</v>
      </c>
      <c r="G20" s="14"/>
    </row>
    <row r="21" customFormat="false" ht="15" hidden="false" customHeight="false" outlineLevel="0" collapsed="false">
      <c r="A21" s="23" t="s">
        <v>34</v>
      </c>
      <c r="B21" s="24" t="s">
        <v>104</v>
      </c>
      <c r="C21" s="24" t="s">
        <v>81</v>
      </c>
      <c r="D21" s="15" t="n">
        <v>5</v>
      </c>
      <c r="E21" s="24" t="str">
        <f aca="false">IF(D21="","No Data",INDEX('Bid Tiers'!$A$4:$A$7,MATCH(D21,'Bid Tiers'!$B$4:$B$7,1)))</f>
        <v>Tier D — Below Threshold (&lt;5)</v>
      </c>
      <c r="F21" s="25" t="n">
        <f aca="false">IF(D21="",0.3,INDEX('Bid Tiers'!$E$4:$E$7,MATCH(D21,'Bid Tiers'!$B$4:$B$7,1)))</f>
        <v>0.6</v>
      </c>
      <c r="G21" s="14"/>
    </row>
    <row r="22" customFormat="false" ht="15" hidden="false" customHeight="false" outlineLevel="0" collapsed="false">
      <c r="A22" s="23" t="s">
        <v>34</v>
      </c>
      <c r="B22" s="24" t="s">
        <v>105</v>
      </c>
      <c r="C22" s="24" t="s">
        <v>81</v>
      </c>
      <c r="D22" s="15" t="n">
        <v>5</v>
      </c>
      <c r="E22" s="24" t="str">
        <f aca="false">IF(D22="","No Data",INDEX('Bid Tiers'!$A$4:$A$7,MATCH(D22,'Bid Tiers'!$B$4:$B$7,1)))</f>
        <v>Tier D — Below Threshold (&lt;5)</v>
      </c>
      <c r="F22" s="25" t="n">
        <f aca="false">IF(D22="",0.3,INDEX('Bid Tiers'!$E$4:$E$7,MATCH(D22,'Bid Tiers'!$B$4:$B$7,1)))</f>
        <v>0.6</v>
      </c>
      <c r="G22" s="14"/>
    </row>
    <row r="23" customFormat="false" ht="15" hidden="false" customHeight="false" outlineLevel="0" collapsed="false">
      <c r="A23" s="23" t="s">
        <v>34</v>
      </c>
      <c r="B23" s="24" t="s">
        <v>106</v>
      </c>
      <c r="C23" s="24" t="s">
        <v>81</v>
      </c>
      <c r="D23" s="15" t="n">
        <v>5</v>
      </c>
      <c r="E23" s="24" t="str">
        <f aca="false">IF(D23="","No Data",INDEX('Bid Tiers'!$A$4:$A$7,MATCH(D23,'Bid Tiers'!$B$4:$B$7,1)))</f>
        <v>Tier D — Below Threshold (&lt;5)</v>
      </c>
      <c r="F23" s="25" t="n">
        <f aca="false">IF(D23="",0.3,INDEX('Bid Tiers'!$E$4:$E$7,MATCH(D23,'Bid Tiers'!$B$4:$B$7,1)))</f>
        <v>0.6</v>
      </c>
      <c r="G23" s="14"/>
    </row>
    <row r="24" customFormat="false" ht="15" hidden="false" customHeight="false" outlineLevel="0" collapsed="false">
      <c r="A24" s="23" t="s">
        <v>34</v>
      </c>
      <c r="B24" s="24" t="s">
        <v>107</v>
      </c>
      <c r="C24" s="24" t="s">
        <v>81</v>
      </c>
      <c r="D24" s="15" t="n">
        <v>49</v>
      </c>
      <c r="E24" s="24" t="str">
        <f aca="false">IF(D24="","No Data",INDEX('Bid Tiers'!$A$4:$A$7,MATCH(D24,'Bid Tiers'!$B$4:$B$7,1)))</f>
        <v>Tier A — Head Term</v>
      </c>
      <c r="F24" s="25" t="n">
        <f aca="false">IF(D24="",0.3,INDEX('Bid Tiers'!$E$4:$E$7,MATCH(D24,'Bid Tiers'!$B$4:$B$7,1)))</f>
        <v>3</v>
      </c>
      <c r="G24" s="14"/>
    </row>
    <row r="25" customFormat="false" ht="15" hidden="false" customHeight="false" outlineLevel="0" collapsed="false">
      <c r="A25" s="23" t="s">
        <v>34</v>
      </c>
      <c r="B25" s="24" t="s">
        <v>108</v>
      </c>
      <c r="C25" s="24" t="s">
        <v>81</v>
      </c>
      <c r="D25" s="15" t="n">
        <v>47</v>
      </c>
      <c r="E25" s="24" t="str">
        <f aca="false">IF(D25="","No Data",INDEX('Bid Tiers'!$A$4:$A$7,MATCH(D25,'Bid Tiers'!$B$4:$B$7,1)))</f>
        <v>Tier A — Head Term</v>
      </c>
      <c r="F25" s="25" t="n">
        <f aca="false">IF(D25="",0.3,INDEX('Bid Tiers'!$E$4:$E$7,MATCH(D25,'Bid Tiers'!$B$4:$B$7,1)))</f>
        <v>3</v>
      </c>
      <c r="G25" s="14"/>
    </row>
    <row r="26" customFormat="false" ht="15" hidden="false" customHeight="false" outlineLevel="0" collapsed="false">
      <c r="A26" s="23" t="s">
        <v>34</v>
      </c>
      <c r="B26" s="24" t="s">
        <v>109</v>
      </c>
      <c r="C26" s="24" t="s">
        <v>81</v>
      </c>
      <c r="D26" s="15" t="n">
        <v>5</v>
      </c>
      <c r="E26" s="24" t="str">
        <f aca="false">IF(D26="","No Data",INDEX('Bid Tiers'!$A$4:$A$7,MATCH(D26,'Bid Tiers'!$B$4:$B$7,1)))</f>
        <v>Tier D — Below Threshold (&lt;5)</v>
      </c>
      <c r="F26" s="25" t="n">
        <f aca="false">IF(D26="",0.3,INDEX('Bid Tiers'!$E$4:$E$7,MATCH(D26,'Bid Tiers'!$B$4:$B$7,1)))</f>
        <v>0.6</v>
      </c>
      <c r="G26" s="14"/>
    </row>
    <row r="27" customFormat="false" ht="15" hidden="false" customHeight="false" outlineLevel="0" collapsed="false">
      <c r="A27" s="23" t="s">
        <v>34</v>
      </c>
      <c r="B27" s="24" t="s">
        <v>110</v>
      </c>
      <c r="C27" s="24" t="s">
        <v>81</v>
      </c>
      <c r="D27" s="15" t="n">
        <v>54</v>
      </c>
      <c r="E27" s="24" t="str">
        <f aca="false">IF(D27="","No Data",INDEX('Bid Tiers'!$A$4:$A$7,MATCH(D27,'Bid Tiers'!$B$4:$B$7,1)))</f>
        <v>Tier A — Head Term</v>
      </c>
      <c r="F27" s="25" t="n">
        <f aca="false">IF(D27="",0.3,INDEX('Bid Tiers'!$E$4:$E$7,MATCH(D27,'Bid Tiers'!$B$4:$B$7,1)))</f>
        <v>3</v>
      </c>
      <c r="G27" s="14"/>
    </row>
    <row r="28" customFormat="false" ht="15" hidden="false" customHeight="false" outlineLevel="0" collapsed="false">
      <c r="A28" s="23" t="s">
        <v>34</v>
      </c>
      <c r="B28" s="24" t="s">
        <v>111</v>
      </c>
      <c r="C28" s="24" t="s">
        <v>81</v>
      </c>
      <c r="D28" s="15" t="n">
        <v>5</v>
      </c>
      <c r="E28" s="24" t="str">
        <f aca="false">IF(D28="","No Data",INDEX('Bid Tiers'!$A$4:$A$7,MATCH(D28,'Bid Tiers'!$B$4:$B$7,1)))</f>
        <v>Tier D — Below Threshold (&lt;5)</v>
      </c>
      <c r="F28" s="25" t="n">
        <f aca="false">IF(D28="",0.3,INDEX('Bid Tiers'!$E$4:$E$7,MATCH(D28,'Bid Tiers'!$B$4:$B$7,1)))</f>
        <v>0.6</v>
      </c>
      <c r="G28" s="14"/>
    </row>
    <row r="29" customFormat="false" ht="15" hidden="false" customHeight="false" outlineLevel="0" collapsed="false">
      <c r="A29" s="23" t="s">
        <v>34</v>
      </c>
      <c r="B29" s="24" t="s">
        <v>112</v>
      </c>
      <c r="C29" s="24" t="s">
        <v>81</v>
      </c>
      <c r="D29" s="15" t="n">
        <v>5</v>
      </c>
      <c r="E29" s="24" t="str">
        <f aca="false">IF(D29="","No Data",INDEX('Bid Tiers'!$A$4:$A$7,MATCH(D29,'Bid Tiers'!$B$4:$B$7,1)))</f>
        <v>Tier D — Below Threshold (&lt;5)</v>
      </c>
      <c r="F29" s="25" t="n">
        <f aca="false">IF(D29="",0.3,INDEX('Bid Tiers'!$E$4:$E$7,MATCH(D29,'Bid Tiers'!$B$4:$B$7,1)))</f>
        <v>0.6</v>
      </c>
      <c r="G29" s="14"/>
    </row>
    <row r="30" customFormat="false" ht="35.05" hidden="false" customHeight="false" outlineLevel="0" collapsed="false">
      <c r="A30" s="23" t="s">
        <v>34</v>
      </c>
      <c r="B30" s="24" t="s">
        <v>113</v>
      </c>
      <c r="C30" s="24" t="s">
        <v>81</v>
      </c>
      <c r="D30" s="15"/>
      <c r="E30" s="24" t="str">
        <f aca="false">IF(D30="","No Data",INDEX('Bid Tiers'!$A$4:$A$7,MATCH(D30,'Bid Tiers'!$B$4:$B$7,1)))</f>
        <v>No Data</v>
      </c>
      <c r="F30" s="25" t="n">
        <f aca="false">IF(D30="",0.3,INDEX('Bid Tiers'!$E$4:$E$7,MATCH(D30,'Bid Tiers'!$B$4:$B$7,1)))</f>
        <v>0.3</v>
      </c>
      <c r="G30" s="14" t="s">
        <v>114</v>
      </c>
    </row>
    <row r="31" customFormat="false" ht="15" hidden="false" customHeight="false" outlineLevel="0" collapsed="false">
      <c r="A31" s="23" t="s">
        <v>34</v>
      </c>
      <c r="B31" s="24" t="s">
        <v>115</v>
      </c>
      <c r="C31" s="24" t="s">
        <v>81</v>
      </c>
      <c r="D31" s="15" t="n">
        <v>5</v>
      </c>
      <c r="E31" s="24" t="str">
        <f aca="false">IF(D31="","No Data",INDEX('Bid Tiers'!$A$4:$A$7,MATCH(D31,'Bid Tiers'!$B$4:$B$7,1)))</f>
        <v>Tier D — Below Threshold (&lt;5)</v>
      </c>
      <c r="F31" s="25" t="n">
        <f aca="false">IF(D31="",0.3,INDEX('Bid Tiers'!$E$4:$E$7,MATCH(D31,'Bid Tiers'!$B$4:$B$7,1)))</f>
        <v>0.6</v>
      </c>
      <c r="G31" s="14"/>
    </row>
    <row r="32" customFormat="false" ht="15" hidden="false" customHeight="false" outlineLevel="0" collapsed="false">
      <c r="A32" s="23" t="s">
        <v>34</v>
      </c>
      <c r="B32" s="24" t="s">
        <v>116</v>
      </c>
      <c r="C32" s="24" t="s">
        <v>81</v>
      </c>
      <c r="D32" s="15" t="n">
        <v>61</v>
      </c>
      <c r="E32" s="24" t="str">
        <f aca="false">IF(D32="","No Data",INDEX('Bid Tiers'!$A$4:$A$7,MATCH(D32,'Bid Tiers'!$B$4:$B$7,1)))</f>
        <v>Tier A — Head Term</v>
      </c>
      <c r="F32" s="25" t="n">
        <f aca="false">IF(D32="",0.3,INDEX('Bid Tiers'!$E$4:$E$7,MATCH(D32,'Bid Tiers'!$B$4:$B$7,1)))</f>
        <v>3</v>
      </c>
      <c r="G32" s="14"/>
    </row>
    <row r="33" customFormat="false" ht="15" hidden="false" customHeight="false" outlineLevel="0" collapsed="false">
      <c r="A33" s="23" t="s">
        <v>34</v>
      </c>
      <c r="B33" s="24" t="s">
        <v>117</v>
      </c>
      <c r="C33" s="24" t="s">
        <v>81</v>
      </c>
      <c r="D33" s="15" t="n">
        <v>5</v>
      </c>
      <c r="E33" s="24" t="str">
        <f aca="false">IF(D33="","No Data",INDEX('Bid Tiers'!$A$4:$A$7,MATCH(D33,'Bid Tiers'!$B$4:$B$7,1)))</f>
        <v>Tier D — Below Threshold (&lt;5)</v>
      </c>
      <c r="F33" s="25" t="n">
        <f aca="false">IF(D33="",0.3,INDEX('Bid Tiers'!$E$4:$E$7,MATCH(D33,'Bid Tiers'!$B$4:$B$7,1)))</f>
        <v>0.6</v>
      </c>
      <c r="G33" s="14"/>
    </row>
    <row r="34" customFormat="false" ht="15" hidden="false" customHeight="false" outlineLevel="0" collapsed="false">
      <c r="A34" s="23" t="s">
        <v>34</v>
      </c>
      <c r="B34" s="24" t="s">
        <v>118</v>
      </c>
      <c r="C34" s="24" t="s">
        <v>81</v>
      </c>
      <c r="D34" s="15" t="n">
        <v>5</v>
      </c>
      <c r="E34" s="24" t="str">
        <f aca="false">IF(D34="","No Data",INDEX('Bid Tiers'!$A$4:$A$7,MATCH(D34,'Bid Tiers'!$B$4:$B$7,1)))</f>
        <v>Tier D — Below Threshold (&lt;5)</v>
      </c>
      <c r="F34" s="25" t="n">
        <f aca="false">IF(D34="",0.3,INDEX('Bid Tiers'!$E$4:$E$7,MATCH(D34,'Bid Tiers'!$B$4:$B$7,1)))</f>
        <v>0.6</v>
      </c>
      <c r="G34" s="14"/>
    </row>
    <row r="35" customFormat="false" ht="15" hidden="false" customHeight="false" outlineLevel="0" collapsed="false">
      <c r="A35" s="23" t="s">
        <v>34</v>
      </c>
      <c r="B35" s="24" t="s">
        <v>119</v>
      </c>
      <c r="C35" s="24" t="s">
        <v>81</v>
      </c>
      <c r="D35" s="15" t="n">
        <v>50</v>
      </c>
      <c r="E35" s="24" t="str">
        <f aca="false">IF(D35="","No Data",INDEX('Bid Tiers'!$A$4:$A$7,MATCH(D35,'Bid Tiers'!$B$4:$B$7,1)))</f>
        <v>Tier A — Head Term</v>
      </c>
      <c r="F35" s="25" t="n">
        <f aca="false">IF(D35="",0.3,INDEX('Bid Tiers'!$E$4:$E$7,MATCH(D35,'Bid Tiers'!$B$4:$B$7,1)))</f>
        <v>3</v>
      </c>
      <c r="G35" s="14"/>
    </row>
    <row r="36" customFormat="false" ht="15" hidden="false" customHeight="false" outlineLevel="0" collapsed="false">
      <c r="A36" s="23" t="s">
        <v>34</v>
      </c>
      <c r="B36" s="24" t="s">
        <v>120</v>
      </c>
      <c r="C36" s="24" t="s">
        <v>81</v>
      </c>
      <c r="D36" s="15" t="n">
        <v>5</v>
      </c>
      <c r="E36" s="24" t="str">
        <f aca="false">IF(D36="","No Data",INDEX('Bid Tiers'!$A$4:$A$7,MATCH(D36,'Bid Tiers'!$B$4:$B$7,1)))</f>
        <v>Tier D — Below Threshold (&lt;5)</v>
      </c>
      <c r="F36" s="25" t="n">
        <f aca="false">IF(D36="",0.3,INDEX('Bid Tiers'!$E$4:$E$7,MATCH(D36,'Bid Tiers'!$B$4:$B$7,1)))</f>
        <v>0.6</v>
      </c>
      <c r="G36" s="14"/>
    </row>
    <row r="37" customFormat="false" ht="15" hidden="false" customHeight="false" outlineLevel="0" collapsed="false">
      <c r="A37" s="23" t="s">
        <v>34</v>
      </c>
      <c r="B37" s="24" t="s">
        <v>121</v>
      </c>
      <c r="C37" s="24" t="s">
        <v>81</v>
      </c>
      <c r="D37" s="15" t="n">
        <v>5</v>
      </c>
      <c r="E37" s="24" t="str">
        <f aca="false">IF(D37="","No Data",INDEX('Bid Tiers'!$A$4:$A$7,MATCH(D37,'Bid Tiers'!$B$4:$B$7,1)))</f>
        <v>Tier D — Below Threshold (&lt;5)</v>
      </c>
      <c r="F37" s="25" t="n">
        <f aca="false">IF(D37="",0.3,INDEX('Bid Tiers'!$E$4:$E$7,MATCH(D37,'Bid Tiers'!$B$4:$B$7,1)))</f>
        <v>0.6</v>
      </c>
      <c r="G37" s="14"/>
    </row>
    <row r="38" customFormat="false" ht="15" hidden="false" customHeight="false" outlineLevel="0" collapsed="false">
      <c r="A38" s="23" t="s">
        <v>34</v>
      </c>
      <c r="B38" s="24" t="s">
        <v>122</v>
      </c>
      <c r="C38" s="24" t="s">
        <v>81</v>
      </c>
      <c r="D38" s="15" t="n">
        <v>5</v>
      </c>
      <c r="E38" s="24" t="str">
        <f aca="false">IF(D38="","No Data",INDEX('Bid Tiers'!$A$4:$A$7,MATCH(D38,'Bid Tiers'!$B$4:$B$7,1)))</f>
        <v>Tier D — Below Threshold (&lt;5)</v>
      </c>
      <c r="F38" s="25" t="n">
        <f aca="false">IF(D38="",0.3,INDEX('Bid Tiers'!$E$4:$E$7,MATCH(D38,'Bid Tiers'!$B$4:$B$7,1)))</f>
        <v>0.6</v>
      </c>
      <c r="G38" s="14"/>
    </row>
    <row r="39" customFormat="false" ht="15" hidden="false" customHeight="false" outlineLevel="0" collapsed="false">
      <c r="A39" s="23" t="s">
        <v>34</v>
      </c>
      <c r="B39" s="24" t="s">
        <v>123</v>
      </c>
      <c r="C39" s="24" t="s">
        <v>81</v>
      </c>
      <c r="D39" s="15" t="n">
        <v>5</v>
      </c>
      <c r="E39" s="24" t="str">
        <f aca="false">IF(D39="","No Data",INDEX('Bid Tiers'!$A$4:$A$7,MATCH(D39,'Bid Tiers'!$B$4:$B$7,1)))</f>
        <v>Tier D — Below Threshold (&lt;5)</v>
      </c>
      <c r="F39" s="25" t="n">
        <f aca="false">IF(D39="",0.3,INDEX('Bid Tiers'!$E$4:$E$7,MATCH(D39,'Bid Tiers'!$B$4:$B$7,1)))</f>
        <v>0.6</v>
      </c>
      <c r="G39" s="14"/>
    </row>
    <row r="40" customFormat="false" ht="15" hidden="false" customHeight="false" outlineLevel="0" collapsed="false">
      <c r="A40" s="23" t="s">
        <v>34</v>
      </c>
      <c r="B40" s="24" t="s">
        <v>124</v>
      </c>
      <c r="C40" s="24" t="s">
        <v>81</v>
      </c>
      <c r="D40" s="15" t="n">
        <v>5</v>
      </c>
      <c r="E40" s="24" t="str">
        <f aca="false">IF(D40="","No Data",INDEX('Bid Tiers'!$A$4:$A$7,MATCH(D40,'Bid Tiers'!$B$4:$B$7,1)))</f>
        <v>Tier D — Below Threshold (&lt;5)</v>
      </c>
      <c r="F40" s="25" t="n">
        <f aca="false">IF(D40="",0.3,INDEX('Bid Tiers'!$E$4:$E$7,MATCH(D40,'Bid Tiers'!$B$4:$B$7,1)))</f>
        <v>0.6</v>
      </c>
      <c r="G40" s="14"/>
    </row>
    <row r="41" customFormat="false" ht="15" hidden="false" customHeight="false" outlineLevel="0" collapsed="false">
      <c r="A41" s="23" t="s">
        <v>34</v>
      </c>
      <c r="B41" s="24" t="s">
        <v>125</v>
      </c>
      <c r="C41" s="24" t="s">
        <v>81</v>
      </c>
      <c r="D41" s="15" t="n">
        <v>5</v>
      </c>
      <c r="E41" s="24" t="str">
        <f aca="false">IF(D41="","No Data",INDEX('Bid Tiers'!$A$4:$A$7,MATCH(D41,'Bid Tiers'!$B$4:$B$7,1)))</f>
        <v>Tier D — Below Threshold (&lt;5)</v>
      </c>
      <c r="F41" s="25" t="n">
        <f aca="false">IF(D41="",0.3,INDEX('Bid Tiers'!$E$4:$E$7,MATCH(D41,'Bid Tiers'!$B$4:$B$7,1)))</f>
        <v>0.6</v>
      </c>
      <c r="G41" s="14"/>
    </row>
    <row r="42" customFormat="false" ht="15" hidden="false" customHeight="false" outlineLevel="0" collapsed="false">
      <c r="A42" s="23" t="s">
        <v>34</v>
      </c>
      <c r="B42" s="24" t="s">
        <v>126</v>
      </c>
      <c r="C42" s="24" t="s">
        <v>81</v>
      </c>
      <c r="D42" s="15" t="n">
        <v>53</v>
      </c>
      <c r="E42" s="24" t="str">
        <f aca="false">IF(D42="","No Data",INDEX('Bid Tiers'!$A$4:$A$7,MATCH(D42,'Bid Tiers'!$B$4:$B$7,1)))</f>
        <v>Tier A — Head Term</v>
      </c>
      <c r="F42" s="25" t="n">
        <f aca="false">IF(D42="",0.3,INDEX('Bid Tiers'!$E$4:$E$7,MATCH(D42,'Bid Tiers'!$B$4:$B$7,1)))</f>
        <v>3</v>
      </c>
      <c r="G42" s="14"/>
    </row>
    <row r="43" customFormat="false" ht="15" hidden="false" customHeight="false" outlineLevel="0" collapsed="false">
      <c r="A43" s="23" t="s">
        <v>34</v>
      </c>
      <c r="B43" s="24" t="s">
        <v>127</v>
      </c>
      <c r="C43" s="24" t="s">
        <v>81</v>
      </c>
      <c r="D43" s="15" t="n">
        <v>5</v>
      </c>
      <c r="E43" s="24" t="str">
        <f aca="false">IF(D43="","No Data",INDEX('Bid Tiers'!$A$4:$A$7,MATCH(D43,'Bid Tiers'!$B$4:$B$7,1)))</f>
        <v>Tier D — Below Threshold (&lt;5)</v>
      </c>
      <c r="F43" s="25" t="n">
        <f aca="false">IF(D43="",0.3,INDEX('Bid Tiers'!$E$4:$E$7,MATCH(D43,'Bid Tiers'!$B$4:$B$7,1)))</f>
        <v>0.6</v>
      </c>
      <c r="G43" s="14"/>
    </row>
    <row r="44" customFormat="false" ht="15" hidden="false" customHeight="false" outlineLevel="0" collapsed="false">
      <c r="A44" s="23" t="s">
        <v>34</v>
      </c>
      <c r="B44" s="24" t="s">
        <v>128</v>
      </c>
      <c r="C44" s="24" t="s">
        <v>81</v>
      </c>
      <c r="D44" s="15" t="n">
        <v>5</v>
      </c>
      <c r="E44" s="24" t="str">
        <f aca="false">IF(D44="","No Data",INDEX('Bid Tiers'!$A$4:$A$7,MATCH(D44,'Bid Tiers'!$B$4:$B$7,1)))</f>
        <v>Tier D — Below Threshold (&lt;5)</v>
      </c>
      <c r="F44" s="25" t="n">
        <f aca="false">IF(D44="",0.3,INDEX('Bid Tiers'!$E$4:$E$7,MATCH(D44,'Bid Tiers'!$B$4:$B$7,1)))</f>
        <v>0.6</v>
      </c>
      <c r="G44" s="14"/>
    </row>
    <row r="45" customFormat="false" ht="15" hidden="false" customHeight="false" outlineLevel="0" collapsed="false">
      <c r="A45" s="23" t="s">
        <v>34</v>
      </c>
      <c r="B45" s="24" t="s">
        <v>129</v>
      </c>
      <c r="C45" s="24" t="s">
        <v>81</v>
      </c>
      <c r="D45" s="15" t="n">
        <v>51</v>
      </c>
      <c r="E45" s="24" t="str">
        <f aca="false">IF(D45="","No Data",INDEX('Bid Tiers'!$A$4:$A$7,MATCH(D45,'Bid Tiers'!$B$4:$B$7,1)))</f>
        <v>Tier A — Head Term</v>
      </c>
      <c r="F45" s="25" t="n">
        <f aca="false">IF(D45="",0.3,INDEX('Bid Tiers'!$E$4:$E$7,MATCH(D45,'Bid Tiers'!$B$4:$B$7,1)))</f>
        <v>3</v>
      </c>
      <c r="G45" s="14"/>
    </row>
    <row r="46" customFormat="false" ht="15" hidden="false" customHeight="false" outlineLevel="0" collapsed="false">
      <c r="A46" s="23" t="s">
        <v>37</v>
      </c>
      <c r="B46" s="24" t="s">
        <v>130</v>
      </c>
      <c r="C46" s="24" t="s">
        <v>81</v>
      </c>
      <c r="D46" s="15" t="n">
        <v>63</v>
      </c>
      <c r="E46" s="24" t="str">
        <f aca="false">IF(D46="","No Data",INDEX('Bid Tiers'!$A$4:$A$7,MATCH(D46,'Bid Tiers'!$B$4:$B$7,1)))</f>
        <v>Tier A — Head Term</v>
      </c>
      <c r="F46" s="25" t="n">
        <f aca="false">IF(D46="",0.3,INDEX('Bid Tiers'!$E$4:$E$7,MATCH(D46,'Bid Tiers'!$B$4:$B$7,1)))</f>
        <v>3</v>
      </c>
      <c r="G46" s="14"/>
    </row>
    <row r="47" customFormat="false" ht="15" hidden="false" customHeight="false" outlineLevel="0" collapsed="false">
      <c r="A47" s="23" t="s">
        <v>37</v>
      </c>
      <c r="B47" s="24" t="s">
        <v>131</v>
      </c>
      <c r="C47" s="24" t="s">
        <v>81</v>
      </c>
      <c r="D47" s="15" t="n">
        <v>56</v>
      </c>
      <c r="E47" s="24" t="str">
        <f aca="false">IF(D47="","No Data",INDEX('Bid Tiers'!$A$4:$A$7,MATCH(D47,'Bid Tiers'!$B$4:$B$7,1)))</f>
        <v>Tier A — Head Term</v>
      </c>
      <c r="F47" s="25" t="n">
        <f aca="false">IF(D47="",0.3,INDEX('Bid Tiers'!$E$4:$E$7,MATCH(D47,'Bid Tiers'!$B$4:$B$7,1)))</f>
        <v>3</v>
      </c>
      <c r="G47" s="14"/>
    </row>
    <row r="48" customFormat="false" ht="15" hidden="false" customHeight="false" outlineLevel="0" collapsed="false">
      <c r="A48" s="23" t="s">
        <v>37</v>
      </c>
      <c r="B48" s="24" t="s">
        <v>132</v>
      </c>
      <c r="C48" s="24" t="s">
        <v>81</v>
      </c>
      <c r="D48" s="15" t="n">
        <v>55</v>
      </c>
      <c r="E48" s="24" t="str">
        <f aca="false">IF(D48="","No Data",INDEX('Bid Tiers'!$A$4:$A$7,MATCH(D48,'Bid Tiers'!$B$4:$B$7,1)))</f>
        <v>Tier A — Head Term</v>
      </c>
      <c r="F48" s="25" t="n">
        <f aca="false">IF(D48="",0.3,INDEX('Bid Tiers'!$E$4:$E$7,MATCH(D48,'Bid Tiers'!$B$4:$B$7,1)))</f>
        <v>3</v>
      </c>
      <c r="G48" s="14"/>
    </row>
    <row r="49" customFormat="false" ht="15" hidden="false" customHeight="false" outlineLevel="0" collapsed="false">
      <c r="A49" s="23" t="s">
        <v>37</v>
      </c>
      <c r="B49" s="24" t="s">
        <v>133</v>
      </c>
      <c r="C49" s="24" t="s">
        <v>81</v>
      </c>
      <c r="D49" s="15" t="n">
        <v>5</v>
      </c>
      <c r="E49" s="24" t="str">
        <f aca="false">IF(D49="","No Data",INDEX('Bid Tiers'!$A$4:$A$7,MATCH(D49,'Bid Tiers'!$B$4:$B$7,1)))</f>
        <v>Tier D — Below Threshold (&lt;5)</v>
      </c>
      <c r="F49" s="25" t="n">
        <f aca="false">IF(D49="",0.3,INDEX('Bid Tiers'!$E$4:$E$7,MATCH(D49,'Bid Tiers'!$B$4:$B$7,1)))</f>
        <v>0.6</v>
      </c>
      <c r="G49" s="14"/>
    </row>
    <row r="50" customFormat="false" ht="15" hidden="false" customHeight="false" outlineLevel="0" collapsed="false">
      <c r="A50" s="23" t="s">
        <v>37</v>
      </c>
      <c r="B50" s="24" t="s">
        <v>134</v>
      </c>
      <c r="C50" s="24" t="s">
        <v>81</v>
      </c>
      <c r="D50" s="15" t="n">
        <v>5</v>
      </c>
      <c r="E50" s="24" t="str">
        <f aca="false">IF(D50="","No Data",INDEX('Bid Tiers'!$A$4:$A$7,MATCH(D50,'Bid Tiers'!$B$4:$B$7,1)))</f>
        <v>Tier D — Below Threshold (&lt;5)</v>
      </c>
      <c r="F50" s="25" t="n">
        <f aca="false">IF(D50="",0.3,INDEX('Bid Tiers'!$E$4:$E$7,MATCH(D50,'Bid Tiers'!$B$4:$B$7,1)))</f>
        <v>0.6</v>
      </c>
      <c r="G50" s="14"/>
    </row>
    <row r="51" customFormat="false" ht="15" hidden="false" customHeight="false" outlineLevel="0" collapsed="false">
      <c r="A51" s="23" t="s">
        <v>37</v>
      </c>
      <c r="B51" s="24" t="s">
        <v>135</v>
      </c>
      <c r="C51" s="24" t="s">
        <v>81</v>
      </c>
      <c r="D51" s="15" t="n">
        <v>5</v>
      </c>
      <c r="E51" s="24" t="str">
        <f aca="false">IF(D51="","No Data",INDEX('Bid Tiers'!$A$4:$A$7,MATCH(D51,'Bid Tiers'!$B$4:$B$7,1)))</f>
        <v>Tier D — Below Threshold (&lt;5)</v>
      </c>
      <c r="F51" s="25" t="n">
        <f aca="false">IF(D51="",0.3,INDEX('Bid Tiers'!$E$4:$E$7,MATCH(D51,'Bid Tiers'!$B$4:$B$7,1)))</f>
        <v>0.6</v>
      </c>
      <c r="G51" s="14"/>
    </row>
    <row r="52" customFormat="false" ht="15" hidden="false" customHeight="false" outlineLevel="0" collapsed="false">
      <c r="A52" s="23" t="s">
        <v>37</v>
      </c>
      <c r="B52" s="24" t="s">
        <v>136</v>
      </c>
      <c r="C52" s="24" t="s">
        <v>81</v>
      </c>
      <c r="D52" s="15" t="n">
        <v>54</v>
      </c>
      <c r="E52" s="24" t="str">
        <f aca="false">IF(D52="","No Data",INDEX('Bid Tiers'!$A$4:$A$7,MATCH(D52,'Bid Tiers'!$B$4:$B$7,1)))</f>
        <v>Tier A — Head Term</v>
      </c>
      <c r="F52" s="25" t="n">
        <f aca="false">IF(D52="",0.3,INDEX('Bid Tiers'!$E$4:$E$7,MATCH(D52,'Bid Tiers'!$B$4:$B$7,1)))</f>
        <v>3</v>
      </c>
      <c r="G52" s="14"/>
    </row>
    <row r="53" customFormat="false" ht="15" hidden="false" customHeight="false" outlineLevel="0" collapsed="false">
      <c r="A53" s="23" t="s">
        <v>37</v>
      </c>
      <c r="B53" s="24" t="s">
        <v>137</v>
      </c>
      <c r="C53" s="24" t="s">
        <v>81</v>
      </c>
      <c r="D53" s="15" t="n">
        <v>5</v>
      </c>
      <c r="E53" s="24" t="str">
        <f aca="false">IF(D53="","No Data",INDEX('Bid Tiers'!$A$4:$A$7,MATCH(D53,'Bid Tiers'!$B$4:$B$7,1)))</f>
        <v>Tier D — Below Threshold (&lt;5)</v>
      </c>
      <c r="F53" s="25" t="n">
        <f aca="false">IF(D53="",0.3,INDEX('Bid Tiers'!$E$4:$E$7,MATCH(D53,'Bid Tiers'!$B$4:$B$7,1)))</f>
        <v>0.6</v>
      </c>
      <c r="G53" s="14"/>
    </row>
    <row r="54" customFormat="false" ht="15" hidden="false" customHeight="false" outlineLevel="0" collapsed="false">
      <c r="A54" s="23" t="s">
        <v>37</v>
      </c>
      <c r="B54" s="24" t="s">
        <v>138</v>
      </c>
      <c r="C54" s="24" t="s">
        <v>81</v>
      </c>
      <c r="D54" s="15" t="n">
        <v>5</v>
      </c>
      <c r="E54" s="24" t="str">
        <f aca="false">IF(D54="","No Data",INDEX('Bid Tiers'!$A$4:$A$7,MATCH(D54,'Bid Tiers'!$B$4:$B$7,1)))</f>
        <v>Tier D — Below Threshold (&lt;5)</v>
      </c>
      <c r="F54" s="25" t="n">
        <f aca="false">IF(D54="",0.3,INDEX('Bid Tiers'!$E$4:$E$7,MATCH(D54,'Bid Tiers'!$B$4:$B$7,1)))</f>
        <v>0.6</v>
      </c>
      <c r="G54" s="14"/>
    </row>
    <row r="55" customFormat="false" ht="15" hidden="false" customHeight="false" outlineLevel="0" collapsed="false">
      <c r="A55" s="23" t="s">
        <v>37</v>
      </c>
      <c r="B55" s="24" t="s">
        <v>139</v>
      </c>
      <c r="C55" s="24" t="s">
        <v>81</v>
      </c>
      <c r="D55" s="15" t="n">
        <v>5</v>
      </c>
      <c r="E55" s="24" t="str">
        <f aca="false">IF(D55="","No Data",INDEX('Bid Tiers'!$A$4:$A$7,MATCH(D55,'Bid Tiers'!$B$4:$B$7,1)))</f>
        <v>Tier D — Below Threshold (&lt;5)</v>
      </c>
      <c r="F55" s="25" t="n">
        <f aca="false">IF(D55="",0.3,INDEX('Bid Tiers'!$E$4:$E$7,MATCH(D55,'Bid Tiers'!$B$4:$B$7,1)))</f>
        <v>0.6</v>
      </c>
      <c r="G55" s="14"/>
    </row>
    <row r="56" customFormat="false" ht="15" hidden="false" customHeight="false" outlineLevel="0" collapsed="false">
      <c r="A56" s="23" t="s">
        <v>37</v>
      </c>
      <c r="B56" s="24" t="s">
        <v>140</v>
      </c>
      <c r="C56" s="24" t="s">
        <v>81</v>
      </c>
      <c r="D56" s="15" t="n">
        <v>49</v>
      </c>
      <c r="E56" s="24" t="str">
        <f aca="false">IF(D56="","No Data",INDEX('Bid Tiers'!$A$4:$A$7,MATCH(D56,'Bid Tiers'!$B$4:$B$7,1)))</f>
        <v>Tier A — Head Term</v>
      </c>
      <c r="F56" s="25" t="n">
        <f aca="false">IF(D56="",0.3,INDEX('Bid Tiers'!$E$4:$E$7,MATCH(D56,'Bid Tiers'!$B$4:$B$7,1)))</f>
        <v>3</v>
      </c>
      <c r="G56" s="14"/>
    </row>
    <row r="57" customFormat="false" ht="15" hidden="false" customHeight="false" outlineLevel="0" collapsed="false">
      <c r="A57" s="23" t="s">
        <v>37</v>
      </c>
      <c r="B57" s="24" t="s">
        <v>141</v>
      </c>
      <c r="C57" s="24" t="s">
        <v>81</v>
      </c>
      <c r="D57" s="15" t="n">
        <v>51</v>
      </c>
      <c r="E57" s="24" t="str">
        <f aca="false">IF(D57="","No Data",INDEX('Bid Tiers'!$A$4:$A$7,MATCH(D57,'Bid Tiers'!$B$4:$B$7,1)))</f>
        <v>Tier A — Head Term</v>
      </c>
      <c r="F57" s="25" t="n">
        <f aca="false">IF(D57="",0.3,INDEX('Bid Tiers'!$E$4:$E$7,MATCH(D57,'Bid Tiers'!$B$4:$B$7,1)))</f>
        <v>3</v>
      </c>
      <c r="G57" s="14"/>
    </row>
    <row r="58" customFormat="false" ht="15" hidden="false" customHeight="false" outlineLevel="0" collapsed="false">
      <c r="A58" s="23" t="s">
        <v>37</v>
      </c>
      <c r="B58" s="24" t="s">
        <v>142</v>
      </c>
      <c r="C58" s="24" t="s">
        <v>81</v>
      </c>
      <c r="D58" s="15" t="n">
        <v>5</v>
      </c>
      <c r="E58" s="24" t="str">
        <f aca="false">IF(D58="","No Data",INDEX('Bid Tiers'!$A$4:$A$7,MATCH(D58,'Bid Tiers'!$B$4:$B$7,1)))</f>
        <v>Tier D — Below Threshold (&lt;5)</v>
      </c>
      <c r="F58" s="25" t="n">
        <f aca="false">IF(D58="",0.3,INDEX('Bid Tiers'!$E$4:$E$7,MATCH(D58,'Bid Tiers'!$B$4:$B$7,1)))</f>
        <v>0.6</v>
      </c>
      <c r="G58" s="14"/>
    </row>
    <row r="59" customFormat="false" ht="15" hidden="false" customHeight="false" outlineLevel="0" collapsed="false">
      <c r="A59" s="23" t="s">
        <v>37</v>
      </c>
      <c r="B59" s="24" t="s">
        <v>143</v>
      </c>
      <c r="C59" s="24" t="s">
        <v>81</v>
      </c>
      <c r="D59" s="15" t="n">
        <v>51</v>
      </c>
      <c r="E59" s="24" t="str">
        <f aca="false">IF(D59="","No Data",INDEX('Bid Tiers'!$A$4:$A$7,MATCH(D59,'Bid Tiers'!$B$4:$B$7,1)))</f>
        <v>Tier A — Head Term</v>
      </c>
      <c r="F59" s="25" t="n">
        <f aca="false">IF(D59="",0.3,INDEX('Bid Tiers'!$E$4:$E$7,MATCH(D59,'Bid Tiers'!$B$4:$B$7,1)))</f>
        <v>3</v>
      </c>
      <c r="G59" s="14"/>
    </row>
    <row r="60" customFormat="false" ht="15" hidden="false" customHeight="false" outlineLevel="0" collapsed="false">
      <c r="A60" s="23" t="s">
        <v>37</v>
      </c>
      <c r="B60" s="24" t="s">
        <v>144</v>
      </c>
      <c r="C60" s="24" t="s">
        <v>81</v>
      </c>
      <c r="D60" s="15" t="n">
        <v>5</v>
      </c>
      <c r="E60" s="24" t="str">
        <f aca="false">IF(D60="","No Data",INDEX('Bid Tiers'!$A$4:$A$7,MATCH(D60,'Bid Tiers'!$B$4:$B$7,1)))</f>
        <v>Tier D — Below Threshold (&lt;5)</v>
      </c>
      <c r="F60" s="25" t="n">
        <f aca="false">IF(D60="",0.3,INDEX('Bid Tiers'!$E$4:$E$7,MATCH(D60,'Bid Tiers'!$B$4:$B$7,1)))</f>
        <v>0.6</v>
      </c>
      <c r="G60" s="14"/>
    </row>
    <row r="61" customFormat="false" ht="15" hidden="false" customHeight="false" outlineLevel="0" collapsed="false">
      <c r="A61" s="23" t="s">
        <v>37</v>
      </c>
      <c r="B61" s="24" t="s">
        <v>145</v>
      </c>
      <c r="C61" s="24" t="s">
        <v>81</v>
      </c>
      <c r="D61" s="15" t="n">
        <v>57</v>
      </c>
      <c r="E61" s="24" t="str">
        <f aca="false">IF(D61="","No Data",INDEX('Bid Tiers'!$A$4:$A$7,MATCH(D61,'Bid Tiers'!$B$4:$B$7,1)))</f>
        <v>Tier A — Head Term</v>
      </c>
      <c r="F61" s="25" t="n">
        <f aca="false">IF(D61="",0.3,INDEX('Bid Tiers'!$E$4:$E$7,MATCH(D61,'Bid Tiers'!$B$4:$B$7,1)))</f>
        <v>3</v>
      </c>
      <c r="G61" s="14"/>
    </row>
    <row r="62" customFormat="false" ht="15" hidden="false" customHeight="false" outlineLevel="0" collapsed="false">
      <c r="A62" s="23" t="s">
        <v>37</v>
      </c>
      <c r="B62" s="24" t="s">
        <v>146</v>
      </c>
      <c r="C62" s="24" t="s">
        <v>81</v>
      </c>
      <c r="D62" s="15" t="n">
        <v>5</v>
      </c>
      <c r="E62" s="24" t="str">
        <f aca="false">IF(D62="","No Data",INDEX('Bid Tiers'!$A$4:$A$7,MATCH(D62,'Bid Tiers'!$B$4:$B$7,1)))</f>
        <v>Tier D — Below Threshold (&lt;5)</v>
      </c>
      <c r="F62" s="25" t="n">
        <f aca="false">IF(D62="",0.3,INDEX('Bid Tiers'!$E$4:$E$7,MATCH(D62,'Bid Tiers'!$B$4:$B$7,1)))</f>
        <v>0.6</v>
      </c>
      <c r="G62" s="14"/>
    </row>
    <row r="63" customFormat="false" ht="15" hidden="false" customHeight="false" outlineLevel="0" collapsed="false">
      <c r="A63" s="23" t="s">
        <v>37</v>
      </c>
      <c r="B63" s="24" t="s">
        <v>147</v>
      </c>
      <c r="C63" s="24" t="s">
        <v>81</v>
      </c>
      <c r="D63" s="15" t="n">
        <v>5</v>
      </c>
      <c r="E63" s="24" t="str">
        <f aca="false">IF(D63="","No Data",INDEX('Bid Tiers'!$A$4:$A$7,MATCH(D63,'Bid Tiers'!$B$4:$B$7,1)))</f>
        <v>Tier D — Below Threshold (&lt;5)</v>
      </c>
      <c r="F63" s="25" t="n">
        <f aca="false">IF(D63="",0.3,INDEX('Bid Tiers'!$E$4:$E$7,MATCH(D63,'Bid Tiers'!$B$4:$B$7,1)))</f>
        <v>0.6</v>
      </c>
      <c r="G63" s="14"/>
    </row>
    <row r="64" customFormat="false" ht="15" hidden="false" customHeight="false" outlineLevel="0" collapsed="false">
      <c r="A64" s="23" t="s">
        <v>37</v>
      </c>
      <c r="B64" s="24" t="s">
        <v>148</v>
      </c>
      <c r="C64" s="24" t="s">
        <v>81</v>
      </c>
      <c r="D64" s="15" t="n">
        <v>50</v>
      </c>
      <c r="E64" s="24" t="str">
        <f aca="false">IF(D64="","No Data",INDEX('Bid Tiers'!$A$4:$A$7,MATCH(D64,'Bid Tiers'!$B$4:$B$7,1)))</f>
        <v>Tier A — Head Term</v>
      </c>
      <c r="F64" s="25" t="n">
        <f aca="false">IF(D64="",0.3,INDEX('Bid Tiers'!$E$4:$E$7,MATCH(D64,'Bid Tiers'!$B$4:$B$7,1)))</f>
        <v>3</v>
      </c>
      <c r="G64" s="14"/>
    </row>
    <row r="65" customFormat="false" ht="15" hidden="false" customHeight="false" outlineLevel="0" collapsed="false">
      <c r="A65" s="23" t="s">
        <v>37</v>
      </c>
      <c r="B65" s="24" t="s">
        <v>149</v>
      </c>
      <c r="C65" s="24" t="s">
        <v>81</v>
      </c>
      <c r="D65" s="15" t="n">
        <v>54</v>
      </c>
      <c r="E65" s="24" t="str">
        <f aca="false">IF(D65="","No Data",INDEX('Bid Tiers'!$A$4:$A$7,MATCH(D65,'Bid Tiers'!$B$4:$B$7,1)))</f>
        <v>Tier A — Head Term</v>
      </c>
      <c r="F65" s="25" t="n">
        <f aca="false">IF(D65="",0.3,INDEX('Bid Tiers'!$E$4:$E$7,MATCH(D65,'Bid Tiers'!$B$4:$B$7,1)))</f>
        <v>3</v>
      </c>
      <c r="G65" s="14"/>
    </row>
    <row r="66" customFormat="false" ht="15" hidden="false" customHeight="false" outlineLevel="0" collapsed="false">
      <c r="A66" s="23" t="s">
        <v>37</v>
      </c>
      <c r="B66" s="24" t="s">
        <v>150</v>
      </c>
      <c r="C66" s="24" t="s">
        <v>81</v>
      </c>
      <c r="D66" s="15" t="n">
        <v>5</v>
      </c>
      <c r="E66" s="24" t="str">
        <f aca="false">IF(D66="","No Data",INDEX('Bid Tiers'!$A$4:$A$7,MATCH(D66,'Bid Tiers'!$B$4:$B$7,1)))</f>
        <v>Tier D — Below Threshold (&lt;5)</v>
      </c>
      <c r="F66" s="25" t="n">
        <f aca="false">IF(D66="",0.3,INDEX('Bid Tiers'!$E$4:$E$7,MATCH(D66,'Bid Tiers'!$B$4:$B$7,1)))</f>
        <v>0.6</v>
      </c>
      <c r="G66" s="14"/>
    </row>
    <row r="67" customFormat="false" ht="15" hidden="false" customHeight="false" outlineLevel="0" collapsed="false">
      <c r="A67" s="23" t="s">
        <v>37</v>
      </c>
      <c r="B67" s="24" t="s">
        <v>151</v>
      </c>
      <c r="C67" s="24" t="s">
        <v>81</v>
      </c>
      <c r="D67" s="15" t="n">
        <v>5</v>
      </c>
      <c r="E67" s="24" t="str">
        <f aca="false">IF(D67="","No Data",INDEX('Bid Tiers'!$A$4:$A$7,MATCH(D67,'Bid Tiers'!$B$4:$B$7,1)))</f>
        <v>Tier D — Below Threshold (&lt;5)</v>
      </c>
      <c r="F67" s="25" t="n">
        <f aca="false">IF(D67="",0.3,INDEX('Bid Tiers'!$E$4:$E$7,MATCH(D67,'Bid Tiers'!$B$4:$B$7,1)))</f>
        <v>0.6</v>
      </c>
      <c r="G67" s="14"/>
    </row>
    <row r="68" customFormat="false" ht="15" hidden="false" customHeight="false" outlineLevel="0" collapsed="false">
      <c r="A68" s="23" t="s">
        <v>37</v>
      </c>
      <c r="B68" s="24" t="s">
        <v>152</v>
      </c>
      <c r="C68" s="24" t="s">
        <v>81</v>
      </c>
      <c r="D68" s="15" t="n">
        <v>5</v>
      </c>
      <c r="E68" s="24" t="str">
        <f aca="false">IF(D68="","No Data",INDEX('Bid Tiers'!$A$4:$A$7,MATCH(D68,'Bid Tiers'!$B$4:$B$7,1)))</f>
        <v>Tier D — Below Threshold (&lt;5)</v>
      </c>
      <c r="F68" s="25" t="n">
        <f aca="false">IF(D68="",0.3,INDEX('Bid Tiers'!$E$4:$E$7,MATCH(D68,'Bid Tiers'!$B$4:$B$7,1)))</f>
        <v>0.6</v>
      </c>
      <c r="G68" s="14"/>
    </row>
    <row r="69" customFormat="false" ht="15" hidden="false" customHeight="false" outlineLevel="0" collapsed="false">
      <c r="A69" s="23" t="s">
        <v>37</v>
      </c>
      <c r="B69" s="24" t="s">
        <v>153</v>
      </c>
      <c r="C69" s="24" t="s">
        <v>81</v>
      </c>
      <c r="D69" s="15" t="n">
        <v>5</v>
      </c>
      <c r="E69" s="24" t="str">
        <f aca="false">IF(D69="","No Data",INDEX('Bid Tiers'!$A$4:$A$7,MATCH(D69,'Bid Tiers'!$B$4:$B$7,1)))</f>
        <v>Tier D — Below Threshold (&lt;5)</v>
      </c>
      <c r="F69" s="25" t="n">
        <f aca="false">IF(D69="",0.3,INDEX('Bid Tiers'!$E$4:$E$7,MATCH(D69,'Bid Tiers'!$B$4:$B$7,1)))</f>
        <v>0.6</v>
      </c>
      <c r="G69" s="14"/>
    </row>
    <row r="70" customFormat="false" ht="15" hidden="false" customHeight="false" outlineLevel="0" collapsed="false">
      <c r="A70" s="23" t="s">
        <v>37</v>
      </c>
      <c r="B70" s="24" t="s">
        <v>154</v>
      </c>
      <c r="C70" s="24" t="s">
        <v>81</v>
      </c>
      <c r="D70" s="15" t="n">
        <v>5</v>
      </c>
      <c r="E70" s="24" t="str">
        <f aca="false">IF(D70="","No Data",INDEX('Bid Tiers'!$A$4:$A$7,MATCH(D70,'Bid Tiers'!$B$4:$B$7,1)))</f>
        <v>Tier D — Below Threshold (&lt;5)</v>
      </c>
      <c r="F70" s="25" t="n">
        <f aca="false">IF(D70="",0.3,INDEX('Bid Tiers'!$E$4:$E$7,MATCH(D70,'Bid Tiers'!$B$4:$B$7,1)))</f>
        <v>0.6</v>
      </c>
      <c r="G70" s="14"/>
    </row>
    <row r="71" customFormat="false" ht="15" hidden="false" customHeight="false" outlineLevel="0" collapsed="false">
      <c r="A71" s="23" t="s">
        <v>37</v>
      </c>
      <c r="B71" s="24" t="s">
        <v>155</v>
      </c>
      <c r="C71" s="24" t="s">
        <v>81</v>
      </c>
      <c r="D71" s="15" t="n">
        <v>5</v>
      </c>
      <c r="E71" s="24" t="str">
        <f aca="false">IF(D71="","No Data",INDEX('Bid Tiers'!$A$4:$A$7,MATCH(D71,'Bid Tiers'!$B$4:$B$7,1)))</f>
        <v>Tier D — Below Threshold (&lt;5)</v>
      </c>
      <c r="F71" s="25" t="n">
        <f aca="false">IF(D71="",0.3,INDEX('Bid Tiers'!$E$4:$E$7,MATCH(D71,'Bid Tiers'!$B$4:$B$7,1)))</f>
        <v>0.6</v>
      </c>
      <c r="G71" s="14"/>
    </row>
    <row r="72" customFormat="false" ht="15" hidden="false" customHeight="false" outlineLevel="0" collapsed="false">
      <c r="A72" s="23" t="s">
        <v>37</v>
      </c>
      <c r="B72" s="24" t="s">
        <v>156</v>
      </c>
      <c r="C72" s="24" t="s">
        <v>81</v>
      </c>
      <c r="D72" s="15" t="n">
        <v>60</v>
      </c>
      <c r="E72" s="24" t="str">
        <f aca="false">IF(D72="","No Data",INDEX('Bid Tiers'!$A$4:$A$7,MATCH(D72,'Bid Tiers'!$B$4:$B$7,1)))</f>
        <v>Tier A — Head Term</v>
      </c>
      <c r="F72" s="25" t="n">
        <f aca="false">IF(D72="",0.3,INDEX('Bid Tiers'!$E$4:$E$7,MATCH(D72,'Bid Tiers'!$B$4:$B$7,1)))</f>
        <v>3</v>
      </c>
      <c r="G72" s="14"/>
    </row>
    <row r="73" customFormat="false" ht="15" hidden="false" customHeight="false" outlineLevel="0" collapsed="false">
      <c r="A73" s="23" t="s">
        <v>40</v>
      </c>
      <c r="B73" s="24" t="s">
        <v>157</v>
      </c>
      <c r="C73" s="24" t="s">
        <v>81</v>
      </c>
      <c r="D73" s="15" t="n">
        <v>54</v>
      </c>
      <c r="E73" s="24" t="str">
        <f aca="false">IF(D73="","No Data",INDEX('Bid Tiers'!$A$4:$A$7,MATCH(D73,'Bid Tiers'!$B$4:$B$7,1)))</f>
        <v>Tier A — Head Term</v>
      </c>
      <c r="F73" s="25" t="n">
        <f aca="false">IF(D73="",0.3,INDEX('Bid Tiers'!$E$4:$E$7,MATCH(D73,'Bid Tiers'!$B$4:$B$7,1)))</f>
        <v>3</v>
      </c>
      <c r="G73" s="14"/>
    </row>
    <row r="74" customFormat="false" ht="15" hidden="false" customHeight="false" outlineLevel="0" collapsed="false">
      <c r="A74" s="23" t="s">
        <v>40</v>
      </c>
      <c r="B74" s="24" t="s">
        <v>158</v>
      </c>
      <c r="C74" s="24" t="s">
        <v>81</v>
      </c>
      <c r="D74" s="15" t="n">
        <v>5</v>
      </c>
      <c r="E74" s="24" t="str">
        <f aca="false">IF(D74="","No Data",INDEX('Bid Tiers'!$A$4:$A$7,MATCH(D74,'Bid Tiers'!$B$4:$B$7,1)))</f>
        <v>Tier D — Below Threshold (&lt;5)</v>
      </c>
      <c r="F74" s="25" t="n">
        <f aca="false">IF(D74="",0.3,INDEX('Bid Tiers'!$E$4:$E$7,MATCH(D74,'Bid Tiers'!$B$4:$B$7,1)))</f>
        <v>0.6</v>
      </c>
      <c r="G74" s="14"/>
    </row>
    <row r="75" customFormat="false" ht="35.05" hidden="false" customHeight="false" outlineLevel="0" collapsed="false">
      <c r="A75" s="23" t="s">
        <v>40</v>
      </c>
      <c r="B75" s="24" t="s">
        <v>159</v>
      </c>
      <c r="C75" s="24" t="s">
        <v>81</v>
      </c>
      <c r="D75" s="15" t="n">
        <v>52</v>
      </c>
      <c r="E75" s="24" t="str">
        <f aca="false">IF(D75="","No Data",INDEX('Bid Tiers'!$A$4:$A$7,MATCH(D75,'Bid Tiers'!$B$4:$B$7,1)))</f>
        <v>Tier A — Head Term</v>
      </c>
      <c r="F75" s="25" t="n">
        <f aca="false">IF(D75="",0.3,INDEX('Bid Tiers'!$E$4:$E$7,MATCH(D75,'Bid Tiers'!$B$4:$B$7,1)))</f>
        <v>3</v>
      </c>
      <c r="G75" s="14" t="s">
        <v>160</v>
      </c>
    </row>
    <row r="76" customFormat="false" ht="15" hidden="false" customHeight="false" outlineLevel="0" collapsed="false">
      <c r="A76" s="23" t="s">
        <v>40</v>
      </c>
      <c r="B76" s="24" t="s">
        <v>161</v>
      </c>
      <c r="C76" s="24" t="s">
        <v>81</v>
      </c>
      <c r="D76" s="15" t="n">
        <v>59</v>
      </c>
      <c r="E76" s="24" t="str">
        <f aca="false">IF(D76="","No Data",INDEX('Bid Tiers'!$A$4:$A$7,MATCH(D76,'Bid Tiers'!$B$4:$B$7,1)))</f>
        <v>Tier A — Head Term</v>
      </c>
      <c r="F76" s="25" t="n">
        <f aca="false">IF(D76="",0.3,INDEX('Bid Tiers'!$E$4:$E$7,MATCH(D76,'Bid Tiers'!$B$4:$B$7,1)))</f>
        <v>3</v>
      </c>
      <c r="G76" s="14"/>
    </row>
    <row r="77" customFormat="false" ht="15" hidden="false" customHeight="false" outlineLevel="0" collapsed="false">
      <c r="A77" s="23" t="s">
        <v>40</v>
      </c>
      <c r="B77" s="24" t="s">
        <v>162</v>
      </c>
      <c r="C77" s="24" t="s">
        <v>81</v>
      </c>
      <c r="D77" s="15" t="n">
        <v>62</v>
      </c>
      <c r="E77" s="24" t="str">
        <f aca="false">IF(D77="","No Data",INDEX('Bid Tiers'!$A$4:$A$7,MATCH(D77,'Bid Tiers'!$B$4:$B$7,1)))</f>
        <v>Tier A — Head Term</v>
      </c>
      <c r="F77" s="25" t="n">
        <f aca="false">IF(D77="",0.3,INDEX('Bid Tiers'!$E$4:$E$7,MATCH(D77,'Bid Tiers'!$B$4:$B$7,1)))</f>
        <v>3</v>
      </c>
      <c r="G77" s="14"/>
    </row>
    <row r="78" customFormat="false" ht="15" hidden="false" customHeight="false" outlineLevel="0" collapsed="false">
      <c r="A78" s="23" t="s">
        <v>40</v>
      </c>
      <c r="B78" s="24" t="s">
        <v>163</v>
      </c>
      <c r="C78" s="24" t="s">
        <v>81</v>
      </c>
      <c r="D78" s="15" t="n">
        <v>59</v>
      </c>
      <c r="E78" s="24" t="str">
        <f aca="false">IF(D78="","No Data",INDEX('Bid Tiers'!$A$4:$A$7,MATCH(D78,'Bid Tiers'!$B$4:$B$7,1)))</f>
        <v>Tier A — Head Term</v>
      </c>
      <c r="F78" s="25" t="n">
        <f aca="false">IF(D78="",0.3,INDEX('Bid Tiers'!$E$4:$E$7,MATCH(D78,'Bid Tiers'!$B$4:$B$7,1)))</f>
        <v>3</v>
      </c>
      <c r="G78" s="14"/>
    </row>
    <row r="79" customFormat="false" ht="15" hidden="false" customHeight="false" outlineLevel="0" collapsed="false">
      <c r="A79" s="23" t="s">
        <v>43</v>
      </c>
      <c r="B79" s="24" t="s">
        <v>164</v>
      </c>
      <c r="C79" s="24" t="s">
        <v>81</v>
      </c>
      <c r="D79" s="15" t="n">
        <v>59</v>
      </c>
      <c r="E79" s="24" t="str">
        <f aca="false">IF(D79="","No Data",INDEX('Bid Tiers'!$A$4:$A$7,MATCH(D79,'Bid Tiers'!$B$4:$B$7,1)))</f>
        <v>Tier A — Head Term</v>
      </c>
      <c r="F79" s="25" t="n">
        <f aca="false">IF(D79="",0.3,INDEX('Bid Tiers'!$E$4:$E$7,MATCH(D79,'Bid Tiers'!$B$4:$B$7,1)))</f>
        <v>3</v>
      </c>
      <c r="G79" s="14"/>
    </row>
    <row r="80" customFormat="false" ht="15" hidden="false" customHeight="false" outlineLevel="0" collapsed="false">
      <c r="A80" s="23" t="s">
        <v>43</v>
      </c>
      <c r="B80" s="24" t="s">
        <v>165</v>
      </c>
      <c r="C80" s="24" t="s">
        <v>81</v>
      </c>
      <c r="D80" s="15" t="n">
        <v>54</v>
      </c>
      <c r="E80" s="24" t="str">
        <f aca="false">IF(D80="","No Data",INDEX('Bid Tiers'!$A$4:$A$7,MATCH(D80,'Bid Tiers'!$B$4:$B$7,1)))</f>
        <v>Tier A — Head Term</v>
      </c>
      <c r="F80" s="25" t="n">
        <f aca="false">IF(D80="",0.3,INDEX('Bid Tiers'!$E$4:$E$7,MATCH(D80,'Bid Tiers'!$B$4:$B$7,1)))</f>
        <v>3</v>
      </c>
      <c r="G80" s="14"/>
    </row>
    <row r="81" customFormat="false" ht="23.85" hidden="false" customHeight="false" outlineLevel="0" collapsed="false">
      <c r="A81" s="23" t="s">
        <v>43</v>
      </c>
      <c r="B81" s="24" t="s">
        <v>166</v>
      </c>
      <c r="C81" s="24" t="s">
        <v>81</v>
      </c>
      <c r="D81" s="15" t="n">
        <v>67</v>
      </c>
      <c r="E81" s="24" t="str">
        <f aca="false">IF(D81="","No Data",INDEX('Bid Tiers'!$A$4:$A$7,MATCH(D81,'Bid Tiers'!$B$4:$B$7,1)))</f>
        <v>Tier A — Head Term</v>
      </c>
      <c r="F81" s="25" t="n">
        <f aca="false">IF(D81="",0.3,INDEX('Bid Tiers'!$E$4:$E$7,MATCH(D81,'Bid Tiers'!$B$4:$B$7,1)))</f>
        <v>3</v>
      </c>
      <c r="G81" s="14" t="s">
        <v>167</v>
      </c>
    </row>
    <row r="82" customFormat="false" ht="15" hidden="false" customHeight="false" outlineLevel="0" collapsed="false">
      <c r="A82" s="23" t="s">
        <v>43</v>
      </c>
      <c r="B82" s="24" t="s">
        <v>168</v>
      </c>
      <c r="C82" s="24" t="s">
        <v>81</v>
      </c>
      <c r="D82" s="15" t="n">
        <v>62</v>
      </c>
      <c r="E82" s="24" t="str">
        <f aca="false">IF(D82="","No Data",INDEX('Bid Tiers'!$A$4:$A$7,MATCH(D82,'Bid Tiers'!$B$4:$B$7,1)))</f>
        <v>Tier A — Head Term</v>
      </c>
      <c r="F82" s="25" t="n">
        <f aca="false">IF(D82="",0.3,INDEX('Bid Tiers'!$E$4:$E$7,MATCH(D82,'Bid Tiers'!$B$4:$B$7,1)))</f>
        <v>3</v>
      </c>
      <c r="G82" s="14"/>
    </row>
    <row r="83" customFormat="false" ht="15" hidden="false" customHeight="false" outlineLevel="0" collapsed="false">
      <c r="A83" s="23" t="s">
        <v>43</v>
      </c>
      <c r="B83" s="24" t="s">
        <v>169</v>
      </c>
      <c r="C83" s="24" t="s">
        <v>81</v>
      </c>
      <c r="D83" s="15" t="n">
        <v>5</v>
      </c>
      <c r="E83" s="24" t="str">
        <f aca="false">IF(D83="","No Data",INDEX('Bid Tiers'!$A$4:$A$7,MATCH(D83,'Bid Tiers'!$B$4:$B$7,1)))</f>
        <v>Tier D — Below Threshold (&lt;5)</v>
      </c>
      <c r="F83" s="25" t="n">
        <f aca="false">IF(D83="",0.3,INDEX('Bid Tiers'!$E$4:$E$7,MATCH(D83,'Bid Tiers'!$B$4:$B$7,1)))</f>
        <v>0.6</v>
      </c>
      <c r="G83" s="14"/>
    </row>
    <row r="84" customFormat="false" ht="15" hidden="false" customHeight="false" outlineLevel="0" collapsed="false">
      <c r="A84" s="23" t="s">
        <v>43</v>
      </c>
      <c r="B84" s="24" t="s">
        <v>170</v>
      </c>
      <c r="C84" s="24" t="s">
        <v>81</v>
      </c>
      <c r="D84" s="15" t="n">
        <v>5</v>
      </c>
      <c r="E84" s="24" t="str">
        <f aca="false">IF(D84="","No Data",INDEX('Bid Tiers'!$A$4:$A$7,MATCH(D84,'Bid Tiers'!$B$4:$B$7,1)))</f>
        <v>Tier D — Below Threshold (&lt;5)</v>
      </c>
      <c r="F84" s="25" t="n">
        <f aca="false">IF(D84="",0.3,INDEX('Bid Tiers'!$E$4:$E$7,MATCH(D84,'Bid Tiers'!$B$4:$B$7,1)))</f>
        <v>0.6</v>
      </c>
      <c r="G84" s="14"/>
    </row>
    <row r="85" customFormat="false" ht="15" hidden="false" customHeight="false" outlineLevel="0" collapsed="false">
      <c r="A85" s="23" t="s">
        <v>43</v>
      </c>
      <c r="B85" s="24" t="s">
        <v>171</v>
      </c>
      <c r="C85" s="24" t="s">
        <v>81</v>
      </c>
      <c r="D85" s="15" t="n">
        <v>49</v>
      </c>
      <c r="E85" s="24" t="str">
        <f aca="false">IF(D85="","No Data",INDEX('Bid Tiers'!$A$4:$A$7,MATCH(D85,'Bid Tiers'!$B$4:$B$7,1)))</f>
        <v>Tier A — Head Term</v>
      </c>
      <c r="F85" s="25" t="n">
        <f aca="false">IF(D85="",0.3,INDEX('Bid Tiers'!$E$4:$E$7,MATCH(D85,'Bid Tiers'!$B$4:$B$7,1)))</f>
        <v>3</v>
      </c>
      <c r="G85" s="14"/>
    </row>
    <row r="86" customFormat="false" ht="15" hidden="false" customHeight="false" outlineLevel="0" collapsed="false">
      <c r="A86" s="23" t="s">
        <v>43</v>
      </c>
      <c r="B86" s="24" t="s">
        <v>172</v>
      </c>
      <c r="C86" s="24" t="s">
        <v>81</v>
      </c>
      <c r="D86" s="15" t="n">
        <v>5</v>
      </c>
      <c r="E86" s="24" t="str">
        <f aca="false">IF(D86="","No Data",INDEX('Bid Tiers'!$A$4:$A$7,MATCH(D86,'Bid Tiers'!$B$4:$B$7,1)))</f>
        <v>Tier D — Below Threshold (&lt;5)</v>
      </c>
      <c r="F86" s="25" t="n">
        <f aca="false">IF(D86="",0.3,INDEX('Bid Tiers'!$E$4:$E$7,MATCH(D86,'Bid Tiers'!$B$4:$B$7,1)))</f>
        <v>0.6</v>
      </c>
      <c r="G86" s="14"/>
    </row>
    <row r="87" customFormat="false" ht="15" hidden="false" customHeight="false" outlineLevel="0" collapsed="false">
      <c r="A87" s="23" t="s">
        <v>43</v>
      </c>
      <c r="B87" s="24" t="s">
        <v>173</v>
      </c>
      <c r="C87" s="24" t="s">
        <v>81</v>
      </c>
      <c r="D87" s="15" t="n">
        <v>5</v>
      </c>
      <c r="E87" s="24" t="str">
        <f aca="false">IF(D87="","No Data",INDEX('Bid Tiers'!$A$4:$A$7,MATCH(D87,'Bid Tiers'!$B$4:$B$7,1)))</f>
        <v>Tier D — Below Threshold (&lt;5)</v>
      </c>
      <c r="F87" s="25" t="n">
        <f aca="false">IF(D87="",0.3,INDEX('Bid Tiers'!$E$4:$E$7,MATCH(D87,'Bid Tiers'!$B$4:$B$7,1)))</f>
        <v>0.6</v>
      </c>
      <c r="G87" s="14"/>
    </row>
    <row r="88" customFormat="false" ht="15" hidden="false" customHeight="false" outlineLevel="0" collapsed="false">
      <c r="A88" s="23" t="s">
        <v>43</v>
      </c>
      <c r="B88" s="24" t="s">
        <v>174</v>
      </c>
      <c r="C88" s="24" t="s">
        <v>81</v>
      </c>
      <c r="D88" s="15" t="n">
        <v>49</v>
      </c>
      <c r="E88" s="24" t="str">
        <f aca="false">IF(D88="","No Data",INDEX('Bid Tiers'!$A$4:$A$7,MATCH(D88,'Bid Tiers'!$B$4:$B$7,1)))</f>
        <v>Tier A — Head Term</v>
      </c>
      <c r="F88" s="25" t="n">
        <f aca="false">IF(D88="",0.3,INDEX('Bid Tiers'!$E$4:$E$7,MATCH(D88,'Bid Tiers'!$B$4:$B$7,1)))</f>
        <v>3</v>
      </c>
      <c r="G88" s="14"/>
    </row>
    <row r="89" customFormat="false" ht="15" hidden="false" customHeight="false" outlineLevel="0" collapsed="false">
      <c r="A89" s="23" t="s">
        <v>43</v>
      </c>
      <c r="B89" s="24" t="s">
        <v>175</v>
      </c>
      <c r="C89" s="24" t="s">
        <v>81</v>
      </c>
      <c r="D89" s="15" t="n">
        <v>5</v>
      </c>
      <c r="E89" s="24" t="str">
        <f aca="false">IF(D89="","No Data",INDEX('Bid Tiers'!$A$4:$A$7,MATCH(D89,'Bid Tiers'!$B$4:$B$7,1)))</f>
        <v>Tier D — Below Threshold (&lt;5)</v>
      </c>
      <c r="F89" s="25" t="n">
        <f aca="false">IF(D89="",0.3,INDEX('Bid Tiers'!$E$4:$E$7,MATCH(D89,'Bid Tiers'!$B$4:$B$7,1)))</f>
        <v>0.6</v>
      </c>
      <c r="G89" s="14"/>
    </row>
    <row r="90" customFormat="false" ht="15" hidden="false" customHeight="false" outlineLevel="0" collapsed="false">
      <c r="A90" s="23" t="s">
        <v>46</v>
      </c>
      <c r="B90" s="24" t="s">
        <v>176</v>
      </c>
      <c r="C90" s="24" t="s">
        <v>81</v>
      </c>
      <c r="D90" s="15" t="n">
        <v>53</v>
      </c>
      <c r="E90" s="24" t="str">
        <f aca="false">IF(D90="","No Data",INDEX('Bid Tiers'!$A$4:$A$7,MATCH(D90,'Bid Tiers'!$B$4:$B$7,1)))</f>
        <v>Tier A — Head Term</v>
      </c>
      <c r="F90" s="25" t="n">
        <f aca="false">IF(D90="",0.3,INDEX('Bid Tiers'!$E$4:$E$7,MATCH(D90,'Bid Tiers'!$B$4:$B$7,1)))</f>
        <v>3</v>
      </c>
      <c r="G90" s="14"/>
    </row>
    <row r="91" customFormat="false" ht="15" hidden="false" customHeight="false" outlineLevel="0" collapsed="false">
      <c r="A91" s="23" t="s">
        <v>46</v>
      </c>
      <c r="B91" s="24" t="s">
        <v>177</v>
      </c>
      <c r="C91" s="24" t="s">
        <v>81</v>
      </c>
      <c r="D91" s="15" t="n">
        <v>5</v>
      </c>
      <c r="E91" s="24" t="str">
        <f aca="false">IF(D91="","No Data",INDEX('Bid Tiers'!$A$4:$A$7,MATCH(D91,'Bid Tiers'!$B$4:$B$7,1)))</f>
        <v>Tier D — Below Threshold (&lt;5)</v>
      </c>
      <c r="F91" s="25" t="n">
        <f aca="false">IF(D91="",0.3,INDEX('Bid Tiers'!$E$4:$E$7,MATCH(D91,'Bid Tiers'!$B$4:$B$7,1)))</f>
        <v>0.6</v>
      </c>
      <c r="G91" s="14"/>
    </row>
    <row r="92" customFormat="false" ht="15" hidden="false" customHeight="false" outlineLevel="0" collapsed="false">
      <c r="A92" s="23" t="s">
        <v>46</v>
      </c>
      <c r="B92" s="24" t="s">
        <v>178</v>
      </c>
      <c r="C92" s="24" t="s">
        <v>81</v>
      </c>
      <c r="D92" s="15" t="n">
        <v>5</v>
      </c>
      <c r="E92" s="24" t="str">
        <f aca="false">IF(D92="","No Data",INDEX('Bid Tiers'!$A$4:$A$7,MATCH(D92,'Bid Tiers'!$B$4:$B$7,1)))</f>
        <v>Tier D — Below Threshold (&lt;5)</v>
      </c>
      <c r="F92" s="25" t="n">
        <f aca="false">IF(D92="",0.3,INDEX('Bid Tiers'!$E$4:$E$7,MATCH(D92,'Bid Tiers'!$B$4:$B$7,1)))</f>
        <v>0.6</v>
      </c>
      <c r="G92" s="14"/>
    </row>
    <row r="93" customFormat="false" ht="15" hidden="false" customHeight="false" outlineLevel="0" collapsed="false">
      <c r="A93" s="23" t="s">
        <v>46</v>
      </c>
      <c r="B93" s="24" t="s">
        <v>179</v>
      </c>
      <c r="C93" s="24" t="s">
        <v>81</v>
      </c>
      <c r="D93" s="15" t="n">
        <v>5</v>
      </c>
      <c r="E93" s="24" t="str">
        <f aca="false">IF(D93="","No Data",INDEX('Bid Tiers'!$A$4:$A$7,MATCH(D93,'Bid Tiers'!$B$4:$B$7,1)))</f>
        <v>Tier D — Below Threshold (&lt;5)</v>
      </c>
      <c r="F93" s="25" t="n">
        <f aca="false">IF(D93="",0.3,INDEX('Bid Tiers'!$E$4:$E$7,MATCH(D93,'Bid Tiers'!$B$4:$B$7,1)))</f>
        <v>0.6</v>
      </c>
      <c r="G93" s="14"/>
    </row>
    <row r="94" customFormat="false" ht="35.05" hidden="false" customHeight="false" outlineLevel="0" collapsed="false">
      <c r="A94" s="23" t="s">
        <v>46</v>
      </c>
      <c r="B94" s="24" t="s">
        <v>180</v>
      </c>
      <c r="C94" s="24" t="s">
        <v>81</v>
      </c>
      <c r="D94" s="15"/>
      <c r="E94" s="24" t="str">
        <f aca="false">IF(D94="","No Data",INDEX('Bid Tiers'!$A$4:$A$7,MATCH(D94,'Bid Tiers'!$B$4:$B$7,1)))</f>
        <v>No Data</v>
      </c>
      <c r="F94" s="25" t="n">
        <f aca="false">IF(D94="",0.3,INDEX('Bid Tiers'!$E$4:$E$7,MATCH(D94,'Bid Tiers'!$B$4:$B$7,1)))</f>
        <v>0.3</v>
      </c>
      <c r="G94" s="14" t="s">
        <v>181</v>
      </c>
    </row>
    <row r="95" customFormat="false" ht="15" hidden="false" customHeight="false" outlineLevel="0" collapsed="false">
      <c r="A95" s="23" t="s">
        <v>46</v>
      </c>
      <c r="B95" s="24" t="s">
        <v>182</v>
      </c>
      <c r="C95" s="24" t="s">
        <v>81</v>
      </c>
      <c r="D95" s="15" t="n">
        <v>5</v>
      </c>
      <c r="E95" s="24" t="str">
        <f aca="false">IF(D95="","No Data",INDEX('Bid Tiers'!$A$4:$A$7,MATCH(D95,'Bid Tiers'!$B$4:$B$7,1)))</f>
        <v>Tier D — Below Threshold (&lt;5)</v>
      </c>
      <c r="F95" s="25" t="n">
        <f aca="false">IF(D95="",0.3,INDEX('Bid Tiers'!$E$4:$E$7,MATCH(D95,'Bid Tiers'!$B$4:$B$7,1)))</f>
        <v>0.6</v>
      </c>
      <c r="G95" s="14"/>
    </row>
    <row r="96" customFormat="false" ht="15" hidden="false" customHeight="false" outlineLevel="0" collapsed="false">
      <c r="A96" s="23" t="s">
        <v>46</v>
      </c>
      <c r="B96" s="24" t="s">
        <v>183</v>
      </c>
      <c r="C96" s="24" t="s">
        <v>81</v>
      </c>
      <c r="D96" s="15"/>
      <c r="E96" s="24" t="str">
        <f aca="false">IF(D96="","No Data",INDEX('Bid Tiers'!$A$4:$A$7,MATCH(D96,'Bid Tiers'!$B$4:$B$7,1)))</f>
        <v>No Data</v>
      </c>
      <c r="F96" s="25" t="n">
        <f aca="false">IF(D96="",0.3,INDEX('Bid Tiers'!$E$4:$E$7,MATCH(D96,'Bid Tiers'!$B$4:$B$7,1)))</f>
        <v>0.3</v>
      </c>
      <c r="G96" s="14"/>
    </row>
    <row r="97" customFormat="false" ht="15" hidden="false" customHeight="false" outlineLevel="0" collapsed="false">
      <c r="A97" s="23" t="s">
        <v>46</v>
      </c>
      <c r="B97" s="24" t="s">
        <v>184</v>
      </c>
      <c r="C97" s="24" t="s">
        <v>81</v>
      </c>
      <c r="D97" s="15" t="n">
        <v>5</v>
      </c>
      <c r="E97" s="24" t="str">
        <f aca="false">IF(D97="","No Data",INDEX('Bid Tiers'!$A$4:$A$7,MATCH(D97,'Bid Tiers'!$B$4:$B$7,1)))</f>
        <v>Tier D — Below Threshold (&lt;5)</v>
      </c>
      <c r="F97" s="25" t="n">
        <f aca="false">IF(D97="",0.3,INDEX('Bid Tiers'!$E$4:$E$7,MATCH(D97,'Bid Tiers'!$B$4:$B$7,1)))</f>
        <v>0.6</v>
      </c>
      <c r="G97" s="14"/>
    </row>
    <row r="98" customFormat="false" ht="15" hidden="false" customHeight="false" outlineLevel="0" collapsed="false">
      <c r="A98" s="23" t="s">
        <v>46</v>
      </c>
      <c r="B98" s="24" t="s">
        <v>185</v>
      </c>
      <c r="C98" s="24" t="s">
        <v>81</v>
      </c>
      <c r="D98" s="15" t="n">
        <v>5</v>
      </c>
      <c r="E98" s="24" t="str">
        <f aca="false">IF(D98="","No Data",INDEX('Bid Tiers'!$A$4:$A$7,MATCH(D98,'Bid Tiers'!$B$4:$B$7,1)))</f>
        <v>Tier D — Below Threshold (&lt;5)</v>
      </c>
      <c r="F98" s="25" t="n">
        <f aca="false">IF(D98="",0.3,INDEX('Bid Tiers'!$E$4:$E$7,MATCH(D98,'Bid Tiers'!$B$4:$B$7,1)))</f>
        <v>0.6</v>
      </c>
      <c r="G98" s="14"/>
    </row>
    <row r="99" customFormat="false" ht="15" hidden="false" customHeight="false" outlineLevel="0" collapsed="false">
      <c r="A99" s="23" t="s">
        <v>46</v>
      </c>
      <c r="B99" s="24" t="s">
        <v>186</v>
      </c>
      <c r="C99" s="24" t="s">
        <v>81</v>
      </c>
      <c r="D99" s="15" t="n">
        <v>5</v>
      </c>
      <c r="E99" s="24" t="str">
        <f aca="false">IF(D99="","No Data",INDEX('Bid Tiers'!$A$4:$A$7,MATCH(D99,'Bid Tiers'!$B$4:$B$7,1)))</f>
        <v>Tier D — Below Threshold (&lt;5)</v>
      </c>
      <c r="F99" s="25" t="n">
        <f aca="false">IF(D99="",0.3,INDEX('Bid Tiers'!$E$4:$E$7,MATCH(D99,'Bid Tiers'!$B$4:$B$7,1)))</f>
        <v>0.6</v>
      </c>
      <c r="G99" s="14"/>
    </row>
    <row r="100" customFormat="false" ht="15" hidden="false" customHeight="false" outlineLevel="0" collapsed="false">
      <c r="A100" s="23" t="s">
        <v>49</v>
      </c>
      <c r="B100" s="24" t="s">
        <v>187</v>
      </c>
      <c r="C100" s="24" t="s">
        <v>81</v>
      </c>
      <c r="D100" s="15" t="n">
        <v>51</v>
      </c>
      <c r="E100" s="24" t="str">
        <f aca="false">IF(D100="","No Data",INDEX('Bid Tiers'!$A$4:$A$7,MATCH(D100,'Bid Tiers'!$B$4:$B$7,1)))</f>
        <v>Tier A — Head Term</v>
      </c>
      <c r="F100" s="25" t="n">
        <f aca="false">IF(D100="",0.3,INDEX('Bid Tiers'!$E$4:$E$7,MATCH(D100,'Bid Tiers'!$B$4:$B$7,1)))</f>
        <v>3</v>
      </c>
      <c r="G100" s="14"/>
    </row>
    <row r="101" customFormat="false" ht="15" hidden="false" customHeight="false" outlineLevel="0" collapsed="false">
      <c r="A101" s="23" t="s">
        <v>49</v>
      </c>
      <c r="B101" s="24" t="s">
        <v>188</v>
      </c>
      <c r="C101" s="24" t="s">
        <v>81</v>
      </c>
      <c r="D101" s="15" t="n">
        <v>5</v>
      </c>
      <c r="E101" s="24" t="str">
        <f aca="false">IF(D101="","No Data",INDEX('Bid Tiers'!$A$4:$A$7,MATCH(D101,'Bid Tiers'!$B$4:$B$7,1)))</f>
        <v>Tier D — Below Threshold (&lt;5)</v>
      </c>
      <c r="F101" s="25" t="n">
        <f aca="false">IF(D101="",0.3,INDEX('Bid Tiers'!$E$4:$E$7,MATCH(D101,'Bid Tiers'!$B$4:$B$7,1)))</f>
        <v>0.6</v>
      </c>
      <c r="G101" s="14"/>
    </row>
    <row r="102" customFormat="false" ht="15" hidden="false" customHeight="false" outlineLevel="0" collapsed="false">
      <c r="A102" s="23" t="s">
        <v>49</v>
      </c>
      <c r="B102" s="24" t="s">
        <v>189</v>
      </c>
      <c r="C102" s="24" t="s">
        <v>81</v>
      </c>
      <c r="D102" s="15" t="n">
        <v>5</v>
      </c>
      <c r="E102" s="24" t="str">
        <f aca="false">IF(D102="","No Data",INDEX('Bid Tiers'!$A$4:$A$7,MATCH(D102,'Bid Tiers'!$B$4:$B$7,1)))</f>
        <v>Tier D — Below Threshold (&lt;5)</v>
      </c>
      <c r="F102" s="25" t="n">
        <f aca="false">IF(D102="",0.3,INDEX('Bid Tiers'!$E$4:$E$7,MATCH(D102,'Bid Tiers'!$B$4:$B$7,1)))</f>
        <v>0.6</v>
      </c>
      <c r="G102" s="14"/>
    </row>
    <row r="103" customFormat="false" ht="15" hidden="false" customHeight="false" outlineLevel="0" collapsed="false">
      <c r="A103" s="23" t="s">
        <v>49</v>
      </c>
      <c r="B103" s="24" t="s">
        <v>190</v>
      </c>
      <c r="C103" s="24" t="s">
        <v>81</v>
      </c>
      <c r="D103" s="15" t="n">
        <v>5</v>
      </c>
      <c r="E103" s="24" t="str">
        <f aca="false">IF(D103="","No Data",INDEX('Bid Tiers'!$A$4:$A$7,MATCH(D103,'Bid Tiers'!$B$4:$B$7,1)))</f>
        <v>Tier D — Below Threshold (&lt;5)</v>
      </c>
      <c r="F103" s="25" t="n">
        <f aca="false">IF(D103="",0.3,INDEX('Bid Tiers'!$E$4:$E$7,MATCH(D103,'Bid Tiers'!$B$4:$B$7,1)))</f>
        <v>0.6</v>
      </c>
      <c r="G103" s="14"/>
    </row>
    <row r="104" customFormat="false" ht="15" hidden="false" customHeight="false" outlineLevel="0" collapsed="false">
      <c r="A104" s="23" t="s">
        <v>49</v>
      </c>
      <c r="B104" s="24" t="s">
        <v>191</v>
      </c>
      <c r="C104" s="24" t="s">
        <v>81</v>
      </c>
      <c r="D104" s="15" t="n">
        <v>5</v>
      </c>
      <c r="E104" s="24" t="str">
        <f aca="false">IF(D104="","No Data",INDEX('Bid Tiers'!$A$4:$A$7,MATCH(D104,'Bid Tiers'!$B$4:$B$7,1)))</f>
        <v>Tier D — Below Threshold (&lt;5)</v>
      </c>
      <c r="F104" s="25" t="n">
        <f aca="false">IF(D104="",0.3,INDEX('Bid Tiers'!$E$4:$E$7,MATCH(D104,'Bid Tiers'!$B$4:$B$7,1)))</f>
        <v>0.6</v>
      </c>
      <c r="G104" s="14"/>
    </row>
    <row r="105" customFormat="false" ht="15" hidden="false" customHeight="false" outlineLevel="0" collapsed="false">
      <c r="A105" s="23" t="s">
        <v>49</v>
      </c>
      <c r="B105" s="24" t="s">
        <v>192</v>
      </c>
      <c r="C105" s="24" t="s">
        <v>81</v>
      </c>
      <c r="D105" s="15" t="n">
        <v>5</v>
      </c>
      <c r="E105" s="24" t="str">
        <f aca="false">IF(D105="","No Data",INDEX('Bid Tiers'!$A$4:$A$7,MATCH(D105,'Bid Tiers'!$B$4:$B$7,1)))</f>
        <v>Tier D — Below Threshold (&lt;5)</v>
      </c>
      <c r="F105" s="25" t="n">
        <f aca="false">IF(D105="",0.3,INDEX('Bid Tiers'!$E$4:$E$7,MATCH(D105,'Bid Tiers'!$B$4:$B$7,1)))</f>
        <v>0.6</v>
      </c>
      <c r="G105" s="14"/>
    </row>
    <row r="106" customFormat="false" ht="15" hidden="false" customHeight="false" outlineLevel="0" collapsed="false">
      <c r="A106" s="23" t="s">
        <v>49</v>
      </c>
      <c r="B106" s="24" t="s">
        <v>193</v>
      </c>
      <c r="C106" s="24" t="s">
        <v>81</v>
      </c>
      <c r="D106" s="15" t="n">
        <v>5</v>
      </c>
      <c r="E106" s="24" t="str">
        <f aca="false">IF(D106="","No Data",INDEX('Bid Tiers'!$A$4:$A$7,MATCH(D106,'Bid Tiers'!$B$4:$B$7,1)))</f>
        <v>Tier D — Below Threshold (&lt;5)</v>
      </c>
      <c r="F106" s="25" t="n">
        <f aca="false">IF(D106="",0.3,INDEX('Bid Tiers'!$E$4:$E$7,MATCH(D106,'Bid Tiers'!$B$4:$B$7,1)))</f>
        <v>0.6</v>
      </c>
      <c r="G106" s="14"/>
    </row>
    <row r="107" customFormat="false" ht="15" hidden="false" customHeight="false" outlineLevel="0" collapsed="false">
      <c r="A107" s="23" t="s">
        <v>52</v>
      </c>
      <c r="B107" s="24" t="s">
        <v>194</v>
      </c>
      <c r="C107" s="24" t="s">
        <v>81</v>
      </c>
      <c r="D107" s="15" t="n">
        <v>50</v>
      </c>
      <c r="E107" s="24" t="str">
        <f aca="false">IF(D107="","No Data",INDEX('Bid Tiers'!$A$4:$A$7,MATCH(D107,'Bid Tiers'!$B$4:$B$7,1)))</f>
        <v>Tier A — Head Term</v>
      </c>
      <c r="F107" s="25" t="n">
        <f aca="false">IF(D107="",0.3,INDEX('Bid Tiers'!$E$4:$E$7,MATCH(D107,'Bid Tiers'!$B$4:$B$7,1)))</f>
        <v>3</v>
      </c>
      <c r="G107" s="14"/>
    </row>
    <row r="108" customFormat="false" ht="15" hidden="false" customHeight="false" outlineLevel="0" collapsed="false">
      <c r="A108" s="23" t="s">
        <v>52</v>
      </c>
      <c r="B108" s="24" t="s">
        <v>195</v>
      </c>
      <c r="C108" s="24" t="s">
        <v>81</v>
      </c>
      <c r="D108" s="15" t="n">
        <v>55</v>
      </c>
      <c r="E108" s="24" t="str">
        <f aca="false">IF(D108="","No Data",INDEX('Bid Tiers'!$A$4:$A$7,MATCH(D108,'Bid Tiers'!$B$4:$B$7,1)))</f>
        <v>Tier A — Head Term</v>
      </c>
      <c r="F108" s="25" t="n">
        <f aca="false">IF(D108="",0.3,INDEX('Bid Tiers'!$E$4:$E$7,MATCH(D108,'Bid Tiers'!$B$4:$B$7,1)))</f>
        <v>3</v>
      </c>
      <c r="G108" s="14"/>
    </row>
    <row r="109" customFormat="false" ht="15" hidden="false" customHeight="false" outlineLevel="0" collapsed="false">
      <c r="A109" s="23" t="s">
        <v>52</v>
      </c>
      <c r="B109" s="24" t="s">
        <v>196</v>
      </c>
      <c r="C109" s="24" t="s">
        <v>81</v>
      </c>
      <c r="D109" s="15" t="n">
        <v>5</v>
      </c>
      <c r="E109" s="24" t="str">
        <f aca="false">IF(D109="","No Data",INDEX('Bid Tiers'!$A$4:$A$7,MATCH(D109,'Bid Tiers'!$B$4:$B$7,1)))</f>
        <v>Tier D — Below Threshold (&lt;5)</v>
      </c>
      <c r="F109" s="25" t="n">
        <f aca="false">IF(D109="",0.3,INDEX('Bid Tiers'!$E$4:$E$7,MATCH(D109,'Bid Tiers'!$B$4:$B$7,1)))</f>
        <v>0.6</v>
      </c>
      <c r="G109" s="14"/>
    </row>
  </sheetData>
  <autoFilter ref="A3:G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2"/>
    <col collapsed="false" customWidth="true" hidden="false" outlineLevel="0" max="4" min="4" style="0" width="14"/>
    <col collapsed="false" customWidth="true" hidden="false" outlineLevel="0" max="5" min="5" style="0" width="24"/>
    <col collapsed="false" customWidth="true" hidden="false" outlineLevel="0" max="6" min="6" style="0" width="16"/>
    <col collapsed="false" customWidth="true" hidden="false" outlineLevel="0" max="7" min="7" style="0" width="50"/>
  </cols>
  <sheetData>
    <row r="1" customFormat="false" ht="19.7" hidden="false" customHeight="false" outlineLevel="0" collapsed="false">
      <c r="A1" s="1" t="s">
        <v>197</v>
      </c>
    </row>
    <row r="2" customFormat="false" ht="15" hidden="false" customHeight="false" outlineLevel="0" collapsed="false">
      <c r="A2" s="2" t="s">
        <v>75</v>
      </c>
    </row>
    <row r="3" customFormat="false" ht="26.85" hidden="false" customHeight="false" outlineLevel="0" collapsed="false">
      <c r="A3" s="6" t="s">
        <v>19</v>
      </c>
      <c r="B3" s="6" t="s">
        <v>76</v>
      </c>
      <c r="C3" s="6" t="s">
        <v>77</v>
      </c>
      <c r="D3" s="6" t="s">
        <v>78</v>
      </c>
      <c r="E3" s="6" t="s">
        <v>59</v>
      </c>
      <c r="F3" s="6" t="s">
        <v>79</v>
      </c>
      <c r="G3" s="6" t="s">
        <v>22</v>
      </c>
    </row>
    <row r="4" customFormat="false" ht="15" hidden="false" customHeight="false" outlineLevel="0" collapsed="false">
      <c r="A4" s="7" t="s">
        <v>23</v>
      </c>
      <c r="B4" s="19" t="s">
        <v>80</v>
      </c>
      <c r="C4" s="19" t="s">
        <v>81</v>
      </c>
      <c r="D4" s="9" t="s">
        <v>82</v>
      </c>
      <c r="E4" s="19" t="s">
        <v>23</v>
      </c>
      <c r="F4" s="20" t="n">
        <v>0.4</v>
      </c>
      <c r="G4" s="8" t="s">
        <v>83</v>
      </c>
    </row>
    <row r="5" customFormat="false" ht="15" hidden="false" customHeight="false" outlineLevel="0" collapsed="false">
      <c r="A5" s="7" t="s">
        <v>23</v>
      </c>
      <c r="B5" s="19" t="s">
        <v>84</v>
      </c>
      <c r="C5" s="19" t="s">
        <v>81</v>
      </c>
      <c r="D5" s="9" t="s">
        <v>82</v>
      </c>
      <c r="E5" s="19" t="s">
        <v>23</v>
      </c>
      <c r="F5" s="20" t="n">
        <v>0.4</v>
      </c>
      <c r="G5" s="8" t="s">
        <v>85</v>
      </c>
    </row>
    <row r="6" customFormat="false" ht="15" hidden="false" customHeight="false" outlineLevel="0" collapsed="false">
      <c r="A6" s="7" t="s">
        <v>23</v>
      </c>
      <c r="B6" s="19" t="s">
        <v>86</v>
      </c>
      <c r="C6" s="19" t="s">
        <v>81</v>
      </c>
      <c r="D6" s="9" t="s">
        <v>82</v>
      </c>
      <c r="E6" s="19" t="s">
        <v>23</v>
      </c>
      <c r="F6" s="20" t="n">
        <v>0.4</v>
      </c>
      <c r="G6" s="8" t="s">
        <v>87</v>
      </c>
    </row>
    <row r="7" customFormat="false" ht="23.85" hidden="false" customHeight="false" outlineLevel="0" collapsed="false">
      <c r="A7" s="10" t="s">
        <v>27</v>
      </c>
      <c r="B7" s="21" t="s">
        <v>88</v>
      </c>
      <c r="C7" s="21" t="s">
        <v>21</v>
      </c>
      <c r="D7" s="12" t="s">
        <v>82</v>
      </c>
      <c r="E7" s="12" t="s">
        <v>82</v>
      </c>
      <c r="F7" s="22" t="n">
        <v>0.5</v>
      </c>
      <c r="G7" s="11" t="s">
        <v>89</v>
      </c>
    </row>
    <row r="8" customFormat="false" ht="15" hidden="false" customHeight="false" outlineLevel="0" collapsed="false">
      <c r="A8" s="23" t="s">
        <v>31</v>
      </c>
      <c r="B8" s="24" t="s">
        <v>90</v>
      </c>
      <c r="C8" s="24" t="s">
        <v>81</v>
      </c>
      <c r="D8" s="15" t="n">
        <v>5</v>
      </c>
      <c r="E8" s="24" t="str">
        <f aca="false">IF(D8="","No Data",INDEX('Bid Tiers'!$A$4:$A$7,MATCH(D8,'Bid Tiers'!$B$4:$B$7,1)))</f>
        <v>Tier D — Below Threshold (&lt;5)</v>
      </c>
      <c r="F8" s="25" t="n">
        <f aca="false">IF(D8="",0.3,INDEX('Bid Tiers'!$E$4:$E$7,MATCH(D8,'Bid Tiers'!$B$4:$B$7,1)))</f>
        <v>0.6</v>
      </c>
      <c r="G8" s="14"/>
    </row>
    <row r="9" customFormat="false" ht="15" hidden="false" customHeight="false" outlineLevel="0" collapsed="false">
      <c r="A9" s="23" t="s">
        <v>31</v>
      </c>
      <c r="B9" s="24" t="s">
        <v>91</v>
      </c>
      <c r="C9" s="24" t="s">
        <v>81</v>
      </c>
      <c r="D9" s="15"/>
      <c r="E9" s="24" t="str">
        <f aca="false">IF(D9="","No Data",INDEX('Bid Tiers'!$A$4:$A$7,MATCH(D9,'Bid Tiers'!$B$4:$B$7,1)))</f>
        <v>No Data</v>
      </c>
      <c r="F9" s="25" t="n">
        <f aca="false">IF(D9="",0.3,INDEX('Bid Tiers'!$E$4:$E$7,MATCH(D9,'Bid Tiers'!$B$4:$B$7,1)))</f>
        <v>0.3</v>
      </c>
      <c r="G9" s="14"/>
    </row>
    <row r="10" customFormat="false" ht="15" hidden="false" customHeight="false" outlineLevel="0" collapsed="false">
      <c r="A10" s="23" t="s">
        <v>31</v>
      </c>
      <c r="B10" s="24" t="s">
        <v>92</v>
      </c>
      <c r="C10" s="24" t="s">
        <v>81</v>
      </c>
      <c r="D10" s="15"/>
      <c r="E10" s="24" t="str">
        <f aca="false">IF(D10="","No Data",INDEX('Bid Tiers'!$A$4:$A$7,MATCH(D10,'Bid Tiers'!$B$4:$B$7,1)))</f>
        <v>No Data</v>
      </c>
      <c r="F10" s="25" t="n">
        <f aca="false">IF(D10="",0.3,INDEX('Bid Tiers'!$E$4:$E$7,MATCH(D10,'Bid Tiers'!$B$4:$B$7,1)))</f>
        <v>0.3</v>
      </c>
      <c r="G10" s="14"/>
    </row>
    <row r="11" customFormat="false" ht="15" hidden="false" customHeight="false" outlineLevel="0" collapsed="false">
      <c r="A11" s="23" t="s">
        <v>31</v>
      </c>
      <c r="B11" s="24" t="s">
        <v>93</v>
      </c>
      <c r="C11" s="24" t="s">
        <v>81</v>
      </c>
      <c r="D11" s="15" t="n">
        <v>5</v>
      </c>
      <c r="E11" s="24" t="str">
        <f aca="false">IF(D11="","No Data",INDEX('Bid Tiers'!$A$4:$A$7,MATCH(D11,'Bid Tiers'!$B$4:$B$7,1)))</f>
        <v>Tier D — Below Threshold (&lt;5)</v>
      </c>
      <c r="F11" s="25" t="n">
        <f aca="false">IF(D11="",0.3,INDEX('Bid Tiers'!$E$4:$E$7,MATCH(D11,'Bid Tiers'!$B$4:$B$7,1)))</f>
        <v>0.6</v>
      </c>
      <c r="G11" s="14"/>
    </row>
    <row r="12" customFormat="false" ht="15" hidden="false" customHeight="false" outlineLevel="0" collapsed="false">
      <c r="A12" s="23" t="s">
        <v>31</v>
      </c>
      <c r="B12" s="24" t="s">
        <v>94</v>
      </c>
      <c r="C12" s="24" t="s">
        <v>81</v>
      </c>
      <c r="D12" s="15" t="n">
        <v>5</v>
      </c>
      <c r="E12" s="24" t="str">
        <f aca="false">IF(D12="","No Data",INDEX('Bid Tiers'!$A$4:$A$7,MATCH(D12,'Bid Tiers'!$B$4:$B$7,1)))</f>
        <v>Tier D — Below Threshold (&lt;5)</v>
      </c>
      <c r="F12" s="25" t="n">
        <f aca="false">IF(D12="",0.3,INDEX('Bid Tiers'!$E$4:$E$7,MATCH(D12,'Bid Tiers'!$B$4:$B$7,1)))</f>
        <v>0.6</v>
      </c>
      <c r="G12" s="14"/>
    </row>
    <row r="13" customFormat="false" ht="15" hidden="false" customHeight="false" outlineLevel="0" collapsed="false">
      <c r="A13" s="23" t="s">
        <v>31</v>
      </c>
      <c r="B13" s="24" t="s">
        <v>95</v>
      </c>
      <c r="C13" s="24" t="s">
        <v>81</v>
      </c>
      <c r="D13" s="15"/>
      <c r="E13" s="24" t="str">
        <f aca="false">IF(D13="","No Data",INDEX('Bid Tiers'!$A$4:$A$7,MATCH(D13,'Bid Tiers'!$B$4:$B$7,1)))</f>
        <v>No Data</v>
      </c>
      <c r="F13" s="25" t="n">
        <f aca="false">IF(D13="",0.3,INDEX('Bid Tiers'!$E$4:$E$7,MATCH(D13,'Bid Tiers'!$B$4:$B$7,1)))</f>
        <v>0.3</v>
      </c>
      <c r="G13" s="14"/>
    </row>
    <row r="14" customFormat="false" ht="15" hidden="false" customHeight="false" outlineLevel="0" collapsed="false">
      <c r="A14" s="23" t="s">
        <v>31</v>
      </c>
      <c r="B14" s="24" t="s">
        <v>96</v>
      </c>
      <c r="C14" s="24" t="s">
        <v>81</v>
      </c>
      <c r="D14" s="15" t="n">
        <v>5</v>
      </c>
      <c r="E14" s="24" t="str">
        <f aca="false">IF(D14="","No Data",INDEX('Bid Tiers'!$A$4:$A$7,MATCH(D14,'Bid Tiers'!$B$4:$B$7,1)))</f>
        <v>Tier D — Below Threshold (&lt;5)</v>
      </c>
      <c r="F14" s="25" t="n">
        <f aca="false">IF(D14="",0.3,INDEX('Bid Tiers'!$E$4:$E$7,MATCH(D14,'Bid Tiers'!$B$4:$B$7,1)))</f>
        <v>0.6</v>
      </c>
      <c r="G14" s="14"/>
    </row>
    <row r="15" customFormat="false" ht="23.85" hidden="false" customHeight="false" outlineLevel="0" collapsed="false">
      <c r="A15" s="23" t="s">
        <v>31</v>
      </c>
      <c r="B15" s="24" t="s">
        <v>97</v>
      </c>
      <c r="C15" s="24" t="s">
        <v>81</v>
      </c>
      <c r="D15" s="15" t="n">
        <v>52</v>
      </c>
      <c r="E15" s="24" t="str">
        <f aca="false">IF(D15="","No Data",INDEX('Bid Tiers'!$A$4:$A$7,MATCH(D15,'Bid Tiers'!$B$4:$B$7,1)))</f>
        <v>Tier A — Head Term</v>
      </c>
      <c r="F15" s="25" t="n">
        <f aca="false">IF(D15="",0.3,INDEX('Bid Tiers'!$E$4:$E$7,MATCH(D15,'Bid Tiers'!$B$4:$B$7,1)))</f>
        <v>3</v>
      </c>
      <c r="G15" s="14" t="s">
        <v>98</v>
      </c>
    </row>
    <row r="16" customFormat="false" ht="15" hidden="false" customHeight="false" outlineLevel="0" collapsed="false">
      <c r="A16" s="23" t="s">
        <v>31</v>
      </c>
      <c r="B16" s="24" t="s">
        <v>99</v>
      </c>
      <c r="C16" s="24" t="s">
        <v>81</v>
      </c>
      <c r="D16" s="15" t="n">
        <v>49</v>
      </c>
      <c r="E16" s="24" t="str">
        <f aca="false">IF(D16="","No Data",INDEX('Bid Tiers'!$A$4:$A$7,MATCH(D16,'Bid Tiers'!$B$4:$B$7,1)))</f>
        <v>Tier A — Head Term</v>
      </c>
      <c r="F16" s="25" t="n">
        <f aca="false">IF(D16="",0.3,INDEX('Bid Tiers'!$E$4:$E$7,MATCH(D16,'Bid Tiers'!$B$4:$B$7,1)))</f>
        <v>3</v>
      </c>
      <c r="G16" s="14"/>
    </row>
    <row r="17" customFormat="false" ht="15" hidden="false" customHeight="false" outlineLevel="0" collapsed="false">
      <c r="A17" s="23" t="s">
        <v>31</v>
      </c>
      <c r="B17" s="24" t="s">
        <v>100</v>
      </c>
      <c r="C17" s="24" t="s">
        <v>81</v>
      </c>
      <c r="D17" s="15"/>
      <c r="E17" s="24" t="str">
        <f aca="false">IF(D17="","No Data",INDEX('Bid Tiers'!$A$4:$A$7,MATCH(D17,'Bid Tiers'!$B$4:$B$7,1)))</f>
        <v>No Data</v>
      </c>
      <c r="F17" s="25" t="n">
        <f aca="false">IF(D17="",0.3,INDEX('Bid Tiers'!$E$4:$E$7,MATCH(D17,'Bid Tiers'!$B$4:$B$7,1)))</f>
        <v>0.3</v>
      </c>
      <c r="G17" s="14"/>
    </row>
    <row r="18" customFormat="false" ht="15" hidden="false" customHeight="false" outlineLevel="0" collapsed="false">
      <c r="A18" s="23" t="s">
        <v>31</v>
      </c>
      <c r="B18" s="24" t="s">
        <v>101</v>
      </c>
      <c r="C18" s="24" t="s">
        <v>81</v>
      </c>
      <c r="D18" s="15" t="n">
        <v>5</v>
      </c>
      <c r="E18" s="24" t="str">
        <f aca="false">IF(D18="","No Data",INDEX('Bid Tiers'!$A$4:$A$7,MATCH(D18,'Bid Tiers'!$B$4:$B$7,1)))</f>
        <v>Tier D — Below Threshold (&lt;5)</v>
      </c>
      <c r="F18" s="25" t="n">
        <f aca="false">IF(D18="",0.3,INDEX('Bid Tiers'!$E$4:$E$7,MATCH(D18,'Bid Tiers'!$B$4:$B$7,1)))</f>
        <v>0.6</v>
      </c>
      <c r="G18" s="14"/>
    </row>
    <row r="19" customFormat="false" ht="15" hidden="false" customHeight="false" outlineLevel="0" collapsed="false">
      <c r="A19" s="23" t="s">
        <v>34</v>
      </c>
      <c r="B19" s="24" t="s">
        <v>102</v>
      </c>
      <c r="C19" s="24" t="s">
        <v>81</v>
      </c>
      <c r="D19" s="15" t="n">
        <v>58</v>
      </c>
      <c r="E19" s="24" t="str">
        <f aca="false">IF(D19="","No Data",INDEX('Bid Tiers'!$A$4:$A$7,MATCH(D19,'Bid Tiers'!$B$4:$B$7,1)))</f>
        <v>Tier A — Head Term</v>
      </c>
      <c r="F19" s="25" t="n">
        <f aca="false">IF(D19="",0.3,INDEX('Bid Tiers'!$E$4:$E$7,MATCH(D19,'Bid Tiers'!$B$4:$B$7,1)))</f>
        <v>3</v>
      </c>
      <c r="G19" s="14"/>
    </row>
    <row r="20" customFormat="false" ht="15" hidden="false" customHeight="false" outlineLevel="0" collapsed="false">
      <c r="A20" s="23" t="s">
        <v>34</v>
      </c>
      <c r="B20" s="24" t="s">
        <v>103</v>
      </c>
      <c r="C20" s="24" t="s">
        <v>81</v>
      </c>
      <c r="D20" s="15" t="n">
        <v>5</v>
      </c>
      <c r="E20" s="24" t="str">
        <f aca="false">IF(D20="","No Data",INDEX('Bid Tiers'!$A$4:$A$7,MATCH(D20,'Bid Tiers'!$B$4:$B$7,1)))</f>
        <v>Tier D — Below Threshold (&lt;5)</v>
      </c>
      <c r="F20" s="25" t="n">
        <f aca="false">IF(D20="",0.3,INDEX('Bid Tiers'!$E$4:$E$7,MATCH(D20,'Bid Tiers'!$B$4:$B$7,1)))</f>
        <v>0.6</v>
      </c>
      <c r="G20" s="14"/>
    </row>
    <row r="21" customFormat="false" ht="15" hidden="false" customHeight="false" outlineLevel="0" collapsed="false">
      <c r="A21" s="23" t="s">
        <v>34</v>
      </c>
      <c r="B21" s="24" t="s">
        <v>104</v>
      </c>
      <c r="C21" s="24" t="s">
        <v>81</v>
      </c>
      <c r="D21" s="15" t="n">
        <v>5</v>
      </c>
      <c r="E21" s="24" t="str">
        <f aca="false">IF(D21="","No Data",INDEX('Bid Tiers'!$A$4:$A$7,MATCH(D21,'Bid Tiers'!$B$4:$B$7,1)))</f>
        <v>Tier D — Below Threshold (&lt;5)</v>
      </c>
      <c r="F21" s="25" t="n">
        <f aca="false">IF(D21="",0.3,INDEX('Bid Tiers'!$E$4:$E$7,MATCH(D21,'Bid Tiers'!$B$4:$B$7,1)))</f>
        <v>0.6</v>
      </c>
      <c r="G21" s="14"/>
    </row>
    <row r="22" customFormat="false" ht="15" hidden="false" customHeight="false" outlineLevel="0" collapsed="false">
      <c r="A22" s="23" t="s">
        <v>34</v>
      </c>
      <c r="B22" s="24" t="s">
        <v>105</v>
      </c>
      <c r="C22" s="24" t="s">
        <v>81</v>
      </c>
      <c r="D22" s="15" t="n">
        <v>5</v>
      </c>
      <c r="E22" s="24" t="str">
        <f aca="false">IF(D22="","No Data",INDEX('Bid Tiers'!$A$4:$A$7,MATCH(D22,'Bid Tiers'!$B$4:$B$7,1)))</f>
        <v>Tier D — Below Threshold (&lt;5)</v>
      </c>
      <c r="F22" s="25" t="n">
        <f aca="false">IF(D22="",0.3,INDEX('Bid Tiers'!$E$4:$E$7,MATCH(D22,'Bid Tiers'!$B$4:$B$7,1)))</f>
        <v>0.6</v>
      </c>
      <c r="G22" s="14"/>
    </row>
    <row r="23" customFormat="false" ht="15" hidden="false" customHeight="false" outlineLevel="0" collapsed="false">
      <c r="A23" s="23" t="s">
        <v>34</v>
      </c>
      <c r="B23" s="24" t="s">
        <v>106</v>
      </c>
      <c r="C23" s="24" t="s">
        <v>81</v>
      </c>
      <c r="D23" s="15" t="n">
        <v>5</v>
      </c>
      <c r="E23" s="24" t="str">
        <f aca="false">IF(D23="","No Data",INDEX('Bid Tiers'!$A$4:$A$7,MATCH(D23,'Bid Tiers'!$B$4:$B$7,1)))</f>
        <v>Tier D — Below Threshold (&lt;5)</v>
      </c>
      <c r="F23" s="25" t="n">
        <f aca="false">IF(D23="",0.3,INDEX('Bid Tiers'!$E$4:$E$7,MATCH(D23,'Bid Tiers'!$B$4:$B$7,1)))</f>
        <v>0.6</v>
      </c>
      <c r="G23" s="14"/>
    </row>
    <row r="24" customFormat="false" ht="15" hidden="false" customHeight="false" outlineLevel="0" collapsed="false">
      <c r="A24" s="23" t="s">
        <v>34</v>
      </c>
      <c r="B24" s="24" t="s">
        <v>107</v>
      </c>
      <c r="C24" s="24" t="s">
        <v>81</v>
      </c>
      <c r="D24" s="15" t="n">
        <v>41</v>
      </c>
      <c r="E24" s="24" t="str">
        <f aca="false">IF(D24="","No Data",INDEX('Bid Tiers'!$A$4:$A$7,MATCH(D24,'Bid Tiers'!$B$4:$B$7,1)))</f>
        <v>Tier B — Mid Volume</v>
      </c>
      <c r="F24" s="25" t="n">
        <f aca="false">IF(D24="",0.3,INDEX('Bid Tiers'!$E$4:$E$7,MATCH(D24,'Bid Tiers'!$B$4:$B$7,1)))</f>
        <v>1.5</v>
      </c>
      <c r="G24" s="14"/>
    </row>
    <row r="25" customFormat="false" ht="15" hidden="false" customHeight="false" outlineLevel="0" collapsed="false">
      <c r="A25" s="23" t="s">
        <v>34</v>
      </c>
      <c r="B25" s="24" t="s">
        <v>108</v>
      </c>
      <c r="C25" s="24" t="s">
        <v>81</v>
      </c>
      <c r="D25" s="15" t="n">
        <v>38</v>
      </c>
      <c r="E25" s="24" t="str">
        <f aca="false">IF(D25="","No Data",INDEX('Bid Tiers'!$A$4:$A$7,MATCH(D25,'Bid Tiers'!$B$4:$B$7,1)))</f>
        <v>Tier B — Mid Volume</v>
      </c>
      <c r="F25" s="25" t="n">
        <f aca="false">IF(D25="",0.3,INDEX('Bid Tiers'!$E$4:$E$7,MATCH(D25,'Bid Tiers'!$B$4:$B$7,1)))</f>
        <v>1.5</v>
      </c>
      <c r="G25" s="14"/>
    </row>
    <row r="26" customFormat="false" ht="15" hidden="false" customHeight="false" outlineLevel="0" collapsed="false">
      <c r="A26" s="23" t="s">
        <v>34</v>
      </c>
      <c r="B26" s="24" t="s">
        <v>109</v>
      </c>
      <c r="C26" s="24" t="s">
        <v>81</v>
      </c>
      <c r="D26" s="15" t="n">
        <v>5</v>
      </c>
      <c r="E26" s="24" t="str">
        <f aca="false">IF(D26="","No Data",INDEX('Bid Tiers'!$A$4:$A$7,MATCH(D26,'Bid Tiers'!$B$4:$B$7,1)))</f>
        <v>Tier D — Below Threshold (&lt;5)</v>
      </c>
      <c r="F26" s="25" t="n">
        <f aca="false">IF(D26="",0.3,INDEX('Bid Tiers'!$E$4:$E$7,MATCH(D26,'Bid Tiers'!$B$4:$B$7,1)))</f>
        <v>0.6</v>
      </c>
      <c r="G26" s="14"/>
    </row>
    <row r="27" customFormat="false" ht="15" hidden="false" customHeight="false" outlineLevel="0" collapsed="false">
      <c r="A27" s="23" t="s">
        <v>34</v>
      </c>
      <c r="B27" s="24" t="s">
        <v>110</v>
      </c>
      <c r="C27" s="24" t="s">
        <v>81</v>
      </c>
      <c r="D27" s="15" t="n">
        <v>43</v>
      </c>
      <c r="E27" s="24" t="str">
        <f aca="false">IF(D27="","No Data",INDEX('Bid Tiers'!$A$4:$A$7,MATCH(D27,'Bid Tiers'!$B$4:$B$7,1)))</f>
        <v>Tier B — Mid Volume</v>
      </c>
      <c r="F27" s="25" t="n">
        <f aca="false">IF(D27="",0.3,INDEX('Bid Tiers'!$E$4:$E$7,MATCH(D27,'Bid Tiers'!$B$4:$B$7,1)))</f>
        <v>1.5</v>
      </c>
      <c r="G27" s="14"/>
    </row>
    <row r="28" customFormat="false" ht="15" hidden="false" customHeight="false" outlineLevel="0" collapsed="false">
      <c r="A28" s="23" t="s">
        <v>34</v>
      </c>
      <c r="B28" s="24" t="s">
        <v>111</v>
      </c>
      <c r="C28" s="24" t="s">
        <v>81</v>
      </c>
      <c r="D28" s="15" t="n">
        <v>5</v>
      </c>
      <c r="E28" s="24" t="str">
        <f aca="false">IF(D28="","No Data",INDEX('Bid Tiers'!$A$4:$A$7,MATCH(D28,'Bid Tiers'!$B$4:$B$7,1)))</f>
        <v>Tier D — Below Threshold (&lt;5)</v>
      </c>
      <c r="F28" s="25" t="n">
        <f aca="false">IF(D28="",0.3,INDEX('Bid Tiers'!$E$4:$E$7,MATCH(D28,'Bid Tiers'!$B$4:$B$7,1)))</f>
        <v>0.6</v>
      </c>
      <c r="G28" s="14"/>
    </row>
    <row r="29" customFormat="false" ht="15" hidden="false" customHeight="false" outlineLevel="0" collapsed="false">
      <c r="A29" s="23" t="s">
        <v>34</v>
      </c>
      <c r="B29" s="24" t="s">
        <v>112</v>
      </c>
      <c r="C29" s="24" t="s">
        <v>81</v>
      </c>
      <c r="D29" s="15" t="n">
        <v>5</v>
      </c>
      <c r="E29" s="24" t="str">
        <f aca="false">IF(D29="","No Data",INDEX('Bid Tiers'!$A$4:$A$7,MATCH(D29,'Bid Tiers'!$B$4:$B$7,1)))</f>
        <v>Tier D — Below Threshold (&lt;5)</v>
      </c>
      <c r="F29" s="25" t="n">
        <f aca="false">IF(D29="",0.3,INDEX('Bid Tiers'!$E$4:$E$7,MATCH(D29,'Bid Tiers'!$B$4:$B$7,1)))</f>
        <v>0.6</v>
      </c>
      <c r="G29" s="14"/>
    </row>
    <row r="30" customFormat="false" ht="35.05" hidden="false" customHeight="false" outlineLevel="0" collapsed="false">
      <c r="A30" s="23" t="s">
        <v>34</v>
      </c>
      <c r="B30" s="24" t="s">
        <v>113</v>
      </c>
      <c r="C30" s="24" t="s">
        <v>81</v>
      </c>
      <c r="D30" s="15"/>
      <c r="E30" s="24" t="str">
        <f aca="false">IF(D30="","No Data",INDEX('Bid Tiers'!$A$4:$A$7,MATCH(D30,'Bid Tiers'!$B$4:$B$7,1)))</f>
        <v>No Data</v>
      </c>
      <c r="F30" s="25" t="n">
        <f aca="false">IF(D30="",0.3,INDEX('Bid Tiers'!$E$4:$E$7,MATCH(D30,'Bid Tiers'!$B$4:$B$7,1)))</f>
        <v>0.3</v>
      </c>
      <c r="G30" s="14" t="s">
        <v>114</v>
      </c>
    </row>
    <row r="31" customFormat="false" ht="15" hidden="false" customHeight="false" outlineLevel="0" collapsed="false">
      <c r="A31" s="23" t="s">
        <v>34</v>
      </c>
      <c r="B31" s="24" t="s">
        <v>115</v>
      </c>
      <c r="C31" s="24" t="s">
        <v>81</v>
      </c>
      <c r="D31" s="15"/>
      <c r="E31" s="24" t="str">
        <f aca="false">IF(D31="","No Data",INDEX('Bid Tiers'!$A$4:$A$7,MATCH(D31,'Bid Tiers'!$B$4:$B$7,1)))</f>
        <v>No Data</v>
      </c>
      <c r="F31" s="25" t="n">
        <f aca="false">IF(D31="",0.3,INDEX('Bid Tiers'!$E$4:$E$7,MATCH(D31,'Bid Tiers'!$B$4:$B$7,1)))</f>
        <v>0.3</v>
      </c>
      <c r="G31" s="14"/>
    </row>
    <row r="32" customFormat="false" ht="15" hidden="false" customHeight="false" outlineLevel="0" collapsed="false">
      <c r="A32" s="23" t="s">
        <v>34</v>
      </c>
      <c r="B32" s="24" t="s">
        <v>116</v>
      </c>
      <c r="C32" s="24" t="s">
        <v>81</v>
      </c>
      <c r="D32" s="15" t="n">
        <v>57</v>
      </c>
      <c r="E32" s="24" t="str">
        <f aca="false">IF(D32="","No Data",INDEX('Bid Tiers'!$A$4:$A$7,MATCH(D32,'Bid Tiers'!$B$4:$B$7,1)))</f>
        <v>Tier A — Head Term</v>
      </c>
      <c r="F32" s="25" t="n">
        <f aca="false">IF(D32="",0.3,INDEX('Bid Tiers'!$E$4:$E$7,MATCH(D32,'Bid Tiers'!$B$4:$B$7,1)))</f>
        <v>3</v>
      </c>
      <c r="G32" s="14"/>
    </row>
    <row r="33" customFormat="false" ht="15" hidden="false" customHeight="false" outlineLevel="0" collapsed="false">
      <c r="A33" s="23" t="s">
        <v>34</v>
      </c>
      <c r="B33" s="24" t="s">
        <v>117</v>
      </c>
      <c r="C33" s="24" t="s">
        <v>81</v>
      </c>
      <c r="D33" s="15" t="n">
        <v>5</v>
      </c>
      <c r="E33" s="24" t="str">
        <f aca="false">IF(D33="","No Data",INDEX('Bid Tiers'!$A$4:$A$7,MATCH(D33,'Bid Tiers'!$B$4:$B$7,1)))</f>
        <v>Tier D — Below Threshold (&lt;5)</v>
      </c>
      <c r="F33" s="25" t="n">
        <f aca="false">IF(D33="",0.3,INDEX('Bid Tiers'!$E$4:$E$7,MATCH(D33,'Bid Tiers'!$B$4:$B$7,1)))</f>
        <v>0.6</v>
      </c>
      <c r="G33" s="14"/>
    </row>
    <row r="34" customFormat="false" ht="15" hidden="false" customHeight="false" outlineLevel="0" collapsed="false">
      <c r="A34" s="23" t="s">
        <v>34</v>
      </c>
      <c r="B34" s="24" t="s">
        <v>118</v>
      </c>
      <c r="C34" s="24" t="s">
        <v>81</v>
      </c>
      <c r="D34" s="15" t="n">
        <v>5</v>
      </c>
      <c r="E34" s="24" t="str">
        <f aca="false">IF(D34="","No Data",INDEX('Bid Tiers'!$A$4:$A$7,MATCH(D34,'Bid Tiers'!$B$4:$B$7,1)))</f>
        <v>Tier D — Below Threshold (&lt;5)</v>
      </c>
      <c r="F34" s="25" t="n">
        <f aca="false">IF(D34="",0.3,INDEX('Bid Tiers'!$E$4:$E$7,MATCH(D34,'Bid Tiers'!$B$4:$B$7,1)))</f>
        <v>0.6</v>
      </c>
      <c r="G34" s="14"/>
    </row>
    <row r="35" customFormat="false" ht="15" hidden="false" customHeight="false" outlineLevel="0" collapsed="false">
      <c r="A35" s="23" t="s">
        <v>34</v>
      </c>
      <c r="B35" s="24" t="s">
        <v>119</v>
      </c>
      <c r="C35" s="24" t="s">
        <v>81</v>
      </c>
      <c r="D35" s="15" t="n">
        <v>48</v>
      </c>
      <c r="E35" s="24" t="str">
        <f aca="false">IF(D35="","No Data",INDEX('Bid Tiers'!$A$4:$A$7,MATCH(D35,'Bid Tiers'!$B$4:$B$7,1)))</f>
        <v>Tier A — Head Term</v>
      </c>
      <c r="F35" s="25" t="n">
        <f aca="false">IF(D35="",0.3,INDEX('Bid Tiers'!$E$4:$E$7,MATCH(D35,'Bid Tiers'!$B$4:$B$7,1)))</f>
        <v>3</v>
      </c>
      <c r="G35" s="14"/>
    </row>
    <row r="36" customFormat="false" ht="15" hidden="false" customHeight="false" outlineLevel="0" collapsed="false">
      <c r="A36" s="23" t="s">
        <v>34</v>
      </c>
      <c r="B36" s="24" t="s">
        <v>120</v>
      </c>
      <c r="C36" s="24" t="s">
        <v>81</v>
      </c>
      <c r="D36" s="15" t="n">
        <v>6</v>
      </c>
      <c r="E36" s="24" t="str">
        <f aca="false">IF(D36="","No Data",INDEX('Bid Tiers'!$A$4:$A$7,MATCH(D36,'Bid Tiers'!$B$4:$B$7,1)))</f>
        <v>Tier C — Long-Tail</v>
      </c>
      <c r="F36" s="25" t="n">
        <f aca="false">IF(D36="",0.3,INDEX('Bid Tiers'!$E$4:$E$7,MATCH(D36,'Bid Tiers'!$B$4:$B$7,1)))</f>
        <v>0.9</v>
      </c>
      <c r="G36" s="14"/>
    </row>
    <row r="37" customFormat="false" ht="15" hidden="false" customHeight="false" outlineLevel="0" collapsed="false">
      <c r="A37" s="23" t="s">
        <v>34</v>
      </c>
      <c r="B37" s="24" t="s">
        <v>121</v>
      </c>
      <c r="C37" s="24" t="s">
        <v>81</v>
      </c>
      <c r="D37" s="15" t="n">
        <v>9</v>
      </c>
      <c r="E37" s="24" t="str">
        <f aca="false">IF(D37="","No Data",INDEX('Bid Tiers'!$A$4:$A$7,MATCH(D37,'Bid Tiers'!$B$4:$B$7,1)))</f>
        <v>Tier C — Long-Tail</v>
      </c>
      <c r="F37" s="25" t="n">
        <f aca="false">IF(D37="",0.3,INDEX('Bid Tiers'!$E$4:$E$7,MATCH(D37,'Bid Tiers'!$B$4:$B$7,1)))</f>
        <v>0.9</v>
      </c>
      <c r="G37" s="14"/>
    </row>
    <row r="38" customFormat="false" ht="15" hidden="false" customHeight="false" outlineLevel="0" collapsed="false">
      <c r="A38" s="23" t="s">
        <v>34</v>
      </c>
      <c r="B38" s="24" t="s">
        <v>122</v>
      </c>
      <c r="C38" s="24" t="s">
        <v>81</v>
      </c>
      <c r="D38" s="15" t="n">
        <v>8</v>
      </c>
      <c r="E38" s="24" t="str">
        <f aca="false">IF(D38="","No Data",INDEX('Bid Tiers'!$A$4:$A$7,MATCH(D38,'Bid Tiers'!$B$4:$B$7,1)))</f>
        <v>Tier C — Long-Tail</v>
      </c>
      <c r="F38" s="25" t="n">
        <f aca="false">IF(D38="",0.3,INDEX('Bid Tiers'!$E$4:$E$7,MATCH(D38,'Bid Tiers'!$B$4:$B$7,1)))</f>
        <v>0.9</v>
      </c>
      <c r="G38" s="14"/>
    </row>
    <row r="39" customFormat="false" ht="15" hidden="false" customHeight="false" outlineLevel="0" collapsed="false">
      <c r="A39" s="23" t="s">
        <v>34</v>
      </c>
      <c r="B39" s="24" t="s">
        <v>123</v>
      </c>
      <c r="C39" s="24" t="s">
        <v>81</v>
      </c>
      <c r="D39" s="15" t="n">
        <v>5</v>
      </c>
      <c r="E39" s="24" t="str">
        <f aca="false">IF(D39="","No Data",INDEX('Bid Tiers'!$A$4:$A$7,MATCH(D39,'Bid Tiers'!$B$4:$B$7,1)))</f>
        <v>Tier D — Below Threshold (&lt;5)</v>
      </c>
      <c r="F39" s="25" t="n">
        <f aca="false">IF(D39="",0.3,INDEX('Bid Tiers'!$E$4:$E$7,MATCH(D39,'Bid Tiers'!$B$4:$B$7,1)))</f>
        <v>0.6</v>
      </c>
      <c r="G39" s="14"/>
    </row>
    <row r="40" customFormat="false" ht="15" hidden="false" customHeight="false" outlineLevel="0" collapsed="false">
      <c r="A40" s="23" t="s">
        <v>34</v>
      </c>
      <c r="B40" s="24" t="s">
        <v>124</v>
      </c>
      <c r="C40" s="24" t="s">
        <v>81</v>
      </c>
      <c r="D40" s="15" t="n">
        <v>5</v>
      </c>
      <c r="E40" s="24" t="str">
        <f aca="false">IF(D40="","No Data",INDEX('Bid Tiers'!$A$4:$A$7,MATCH(D40,'Bid Tiers'!$B$4:$B$7,1)))</f>
        <v>Tier D — Below Threshold (&lt;5)</v>
      </c>
      <c r="F40" s="25" t="n">
        <f aca="false">IF(D40="",0.3,INDEX('Bid Tiers'!$E$4:$E$7,MATCH(D40,'Bid Tiers'!$B$4:$B$7,1)))</f>
        <v>0.6</v>
      </c>
      <c r="G40" s="14"/>
    </row>
    <row r="41" customFormat="false" ht="15" hidden="false" customHeight="false" outlineLevel="0" collapsed="false">
      <c r="A41" s="23" t="s">
        <v>34</v>
      </c>
      <c r="B41" s="24" t="s">
        <v>125</v>
      </c>
      <c r="C41" s="24" t="s">
        <v>81</v>
      </c>
      <c r="D41" s="15" t="n">
        <v>5</v>
      </c>
      <c r="E41" s="24" t="str">
        <f aca="false">IF(D41="","No Data",INDEX('Bid Tiers'!$A$4:$A$7,MATCH(D41,'Bid Tiers'!$B$4:$B$7,1)))</f>
        <v>Tier D — Below Threshold (&lt;5)</v>
      </c>
      <c r="F41" s="25" t="n">
        <f aca="false">IF(D41="",0.3,INDEX('Bid Tiers'!$E$4:$E$7,MATCH(D41,'Bid Tiers'!$B$4:$B$7,1)))</f>
        <v>0.6</v>
      </c>
      <c r="G41" s="14"/>
    </row>
    <row r="42" customFormat="false" ht="15" hidden="false" customHeight="false" outlineLevel="0" collapsed="false">
      <c r="A42" s="23" t="s">
        <v>34</v>
      </c>
      <c r="B42" s="24" t="s">
        <v>126</v>
      </c>
      <c r="C42" s="24" t="s">
        <v>81</v>
      </c>
      <c r="D42" s="15" t="n">
        <v>5</v>
      </c>
      <c r="E42" s="24" t="str">
        <f aca="false">IF(D42="","No Data",INDEX('Bid Tiers'!$A$4:$A$7,MATCH(D42,'Bid Tiers'!$B$4:$B$7,1)))</f>
        <v>Tier D — Below Threshold (&lt;5)</v>
      </c>
      <c r="F42" s="25" t="n">
        <f aca="false">IF(D42="",0.3,INDEX('Bid Tiers'!$E$4:$E$7,MATCH(D42,'Bid Tiers'!$B$4:$B$7,1)))</f>
        <v>0.6</v>
      </c>
      <c r="G42" s="14"/>
    </row>
    <row r="43" customFormat="false" ht="15" hidden="false" customHeight="false" outlineLevel="0" collapsed="false">
      <c r="A43" s="23" t="s">
        <v>34</v>
      </c>
      <c r="B43" s="24" t="s">
        <v>127</v>
      </c>
      <c r="C43" s="24" t="s">
        <v>81</v>
      </c>
      <c r="D43" s="15" t="n">
        <v>5</v>
      </c>
      <c r="E43" s="24" t="str">
        <f aca="false">IF(D43="","No Data",INDEX('Bid Tiers'!$A$4:$A$7,MATCH(D43,'Bid Tiers'!$B$4:$B$7,1)))</f>
        <v>Tier D — Below Threshold (&lt;5)</v>
      </c>
      <c r="F43" s="25" t="n">
        <f aca="false">IF(D43="",0.3,INDEX('Bid Tiers'!$E$4:$E$7,MATCH(D43,'Bid Tiers'!$B$4:$B$7,1)))</f>
        <v>0.6</v>
      </c>
      <c r="G43" s="14"/>
    </row>
    <row r="44" customFormat="false" ht="15" hidden="false" customHeight="false" outlineLevel="0" collapsed="false">
      <c r="A44" s="23" t="s">
        <v>34</v>
      </c>
      <c r="B44" s="24" t="s">
        <v>128</v>
      </c>
      <c r="C44" s="24" t="s">
        <v>81</v>
      </c>
      <c r="D44" s="15" t="n">
        <v>5</v>
      </c>
      <c r="E44" s="24" t="str">
        <f aca="false">IF(D44="","No Data",INDEX('Bid Tiers'!$A$4:$A$7,MATCH(D44,'Bid Tiers'!$B$4:$B$7,1)))</f>
        <v>Tier D — Below Threshold (&lt;5)</v>
      </c>
      <c r="F44" s="25" t="n">
        <f aca="false">IF(D44="",0.3,INDEX('Bid Tiers'!$E$4:$E$7,MATCH(D44,'Bid Tiers'!$B$4:$B$7,1)))</f>
        <v>0.6</v>
      </c>
      <c r="G44" s="14"/>
    </row>
    <row r="45" customFormat="false" ht="15" hidden="false" customHeight="false" outlineLevel="0" collapsed="false">
      <c r="A45" s="23" t="s">
        <v>34</v>
      </c>
      <c r="B45" s="24" t="s">
        <v>129</v>
      </c>
      <c r="C45" s="24" t="s">
        <v>81</v>
      </c>
      <c r="D45" s="15" t="n">
        <v>38</v>
      </c>
      <c r="E45" s="24" t="str">
        <f aca="false">IF(D45="","No Data",INDEX('Bid Tiers'!$A$4:$A$7,MATCH(D45,'Bid Tiers'!$B$4:$B$7,1)))</f>
        <v>Tier B — Mid Volume</v>
      </c>
      <c r="F45" s="25" t="n">
        <f aca="false">IF(D45="",0.3,INDEX('Bid Tiers'!$E$4:$E$7,MATCH(D45,'Bid Tiers'!$B$4:$B$7,1)))</f>
        <v>1.5</v>
      </c>
      <c r="G45" s="14"/>
    </row>
    <row r="46" customFormat="false" ht="15" hidden="false" customHeight="false" outlineLevel="0" collapsed="false">
      <c r="A46" s="23" t="s">
        <v>37</v>
      </c>
      <c r="B46" s="24" t="s">
        <v>130</v>
      </c>
      <c r="C46" s="24" t="s">
        <v>81</v>
      </c>
      <c r="D46" s="15" t="n">
        <v>55</v>
      </c>
      <c r="E46" s="24" t="str">
        <f aca="false">IF(D46="","No Data",INDEX('Bid Tiers'!$A$4:$A$7,MATCH(D46,'Bid Tiers'!$B$4:$B$7,1)))</f>
        <v>Tier A — Head Term</v>
      </c>
      <c r="F46" s="25" t="n">
        <f aca="false">IF(D46="",0.3,INDEX('Bid Tiers'!$E$4:$E$7,MATCH(D46,'Bid Tiers'!$B$4:$B$7,1)))</f>
        <v>3</v>
      </c>
      <c r="G46" s="14"/>
    </row>
    <row r="47" customFormat="false" ht="15" hidden="false" customHeight="false" outlineLevel="0" collapsed="false">
      <c r="A47" s="23" t="s">
        <v>37</v>
      </c>
      <c r="B47" s="24" t="s">
        <v>131</v>
      </c>
      <c r="C47" s="24" t="s">
        <v>81</v>
      </c>
      <c r="D47" s="15" t="n">
        <v>57</v>
      </c>
      <c r="E47" s="24" t="str">
        <f aca="false">IF(D47="","No Data",INDEX('Bid Tiers'!$A$4:$A$7,MATCH(D47,'Bid Tiers'!$B$4:$B$7,1)))</f>
        <v>Tier A — Head Term</v>
      </c>
      <c r="F47" s="25" t="n">
        <f aca="false">IF(D47="",0.3,INDEX('Bid Tiers'!$E$4:$E$7,MATCH(D47,'Bid Tiers'!$B$4:$B$7,1)))</f>
        <v>3</v>
      </c>
      <c r="G47" s="14"/>
    </row>
    <row r="48" customFormat="false" ht="15" hidden="false" customHeight="false" outlineLevel="0" collapsed="false">
      <c r="A48" s="23" t="s">
        <v>37</v>
      </c>
      <c r="B48" s="24" t="s">
        <v>132</v>
      </c>
      <c r="C48" s="24" t="s">
        <v>81</v>
      </c>
      <c r="D48" s="15" t="n">
        <v>49</v>
      </c>
      <c r="E48" s="24" t="str">
        <f aca="false">IF(D48="","No Data",INDEX('Bid Tiers'!$A$4:$A$7,MATCH(D48,'Bid Tiers'!$B$4:$B$7,1)))</f>
        <v>Tier A — Head Term</v>
      </c>
      <c r="F48" s="25" t="n">
        <f aca="false">IF(D48="",0.3,INDEX('Bid Tiers'!$E$4:$E$7,MATCH(D48,'Bid Tiers'!$B$4:$B$7,1)))</f>
        <v>3</v>
      </c>
      <c r="G48" s="14"/>
    </row>
    <row r="49" customFormat="false" ht="15" hidden="false" customHeight="false" outlineLevel="0" collapsed="false">
      <c r="A49" s="23" t="s">
        <v>37</v>
      </c>
      <c r="B49" s="24" t="s">
        <v>133</v>
      </c>
      <c r="C49" s="24" t="s">
        <v>81</v>
      </c>
      <c r="D49" s="15" t="n">
        <v>5</v>
      </c>
      <c r="E49" s="24" t="str">
        <f aca="false">IF(D49="","No Data",INDEX('Bid Tiers'!$A$4:$A$7,MATCH(D49,'Bid Tiers'!$B$4:$B$7,1)))</f>
        <v>Tier D — Below Threshold (&lt;5)</v>
      </c>
      <c r="F49" s="25" t="n">
        <f aca="false">IF(D49="",0.3,INDEX('Bid Tiers'!$E$4:$E$7,MATCH(D49,'Bid Tiers'!$B$4:$B$7,1)))</f>
        <v>0.6</v>
      </c>
      <c r="G49" s="14"/>
    </row>
    <row r="50" customFormat="false" ht="15" hidden="false" customHeight="false" outlineLevel="0" collapsed="false">
      <c r="A50" s="23" t="s">
        <v>37</v>
      </c>
      <c r="B50" s="24" t="s">
        <v>134</v>
      </c>
      <c r="C50" s="24" t="s">
        <v>81</v>
      </c>
      <c r="D50" s="15" t="n">
        <v>5</v>
      </c>
      <c r="E50" s="24" t="str">
        <f aca="false">IF(D50="","No Data",INDEX('Bid Tiers'!$A$4:$A$7,MATCH(D50,'Bid Tiers'!$B$4:$B$7,1)))</f>
        <v>Tier D — Below Threshold (&lt;5)</v>
      </c>
      <c r="F50" s="25" t="n">
        <f aca="false">IF(D50="",0.3,INDEX('Bid Tiers'!$E$4:$E$7,MATCH(D50,'Bid Tiers'!$B$4:$B$7,1)))</f>
        <v>0.6</v>
      </c>
      <c r="G50" s="14"/>
    </row>
    <row r="51" customFormat="false" ht="15" hidden="false" customHeight="false" outlineLevel="0" collapsed="false">
      <c r="A51" s="23" t="s">
        <v>37</v>
      </c>
      <c r="B51" s="24" t="s">
        <v>135</v>
      </c>
      <c r="C51" s="24" t="s">
        <v>81</v>
      </c>
      <c r="D51" s="15" t="n">
        <v>5</v>
      </c>
      <c r="E51" s="24" t="str">
        <f aca="false">IF(D51="","No Data",INDEX('Bid Tiers'!$A$4:$A$7,MATCH(D51,'Bid Tiers'!$B$4:$B$7,1)))</f>
        <v>Tier D — Below Threshold (&lt;5)</v>
      </c>
      <c r="F51" s="25" t="n">
        <f aca="false">IF(D51="",0.3,INDEX('Bid Tiers'!$E$4:$E$7,MATCH(D51,'Bid Tiers'!$B$4:$B$7,1)))</f>
        <v>0.6</v>
      </c>
      <c r="G51" s="14"/>
    </row>
    <row r="52" customFormat="false" ht="15" hidden="false" customHeight="false" outlineLevel="0" collapsed="false">
      <c r="A52" s="23" t="s">
        <v>37</v>
      </c>
      <c r="B52" s="24" t="s">
        <v>136</v>
      </c>
      <c r="C52" s="24" t="s">
        <v>81</v>
      </c>
      <c r="D52" s="15" t="n">
        <v>52</v>
      </c>
      <c r="E52" s="24" t="str">
        <f aca="false">IF(D52="","No Data",INDEX('Bid Tiers'!$A$4:$A$7,MATCH(D52,'Bid Tiers'!$B$4:$B$7,1)))</f>
        <v>Tier A — Head Term</v>
      </c>
      <c r="F52" s="25" t="n">
        <f aca="false">IF(D52="",0.3,INDEX('Bid Tiers'!$E$4:$E$7,MATCH(D52,'Bid Tiers'!$B$4:$B$7,1)))</f>
        <v>3</v>
      </c>
      <c r="G52" s="14"/>
    </row>
    <row r="53" customFormat="false" ht="15" hidden="false" customHeight="false" outlineLevel="0" collapsed="false">
      <c r="A53" s="23" t="s">
        <v>37</v>
      </c>
      <c r="B53" s="24" t="s">
        <v>137</v>
      </c>
      <c r="C53" s="24" t="s">
        <v>81</v>
      </c>
      <c r="D53" s="15" t="n">
        <v>5</v>
      </c>
      <c r="E53" s="24" t="str">
        <f aca="false">IF(D53="","No Data",INDEX('Bid Tiers'!$A$4:$A$7,MATCH(D53,'Bid Tiers'!$B$4:$B$7,1)))</f>
        <v>Tier D — Below Threshold (&lt;5)</v>
      </c>
      <c r="F53" s="25" t="n">
        <f aca="false">IF(D53="",0.3,INDEX('Bid Tiers'!$E$4:$E$7,MATCH(D53,'Bid Tiers'!$B$4:$B$7,1)))</f>
        <v>0.6</v>
      </c>
      <c r="G53" s="14"/>
    </row>
    <row r="54" customFormat="false" ht="15" hidden="false" customHeight="false" outlineLevel="0" collapsed="false">
      <c r="A54" s="23" t="s">
        <v>37</v>
      </c>
      <c r="B54" s="24" t="s">
        <v>138</v>
      </c>
      <c r="C54" s="24" t="s">
        <v>81</v>
      </c>
      <c r="D54" s="15" t="n">
        <v>10</v>
      </c>
      <c r="E54" s="24" t="str">
        <f aca="false">IF(D54="","No Data",INDEX('Bid Tiers'!$A$4:$A$7,MATCH(D54,'Bid Tiers'!$B$4:$B$7,1)))</f>
        <v>Tier C — Long-Tail</v>
      </c>
      <c r="F54" s="25" t="n">
        <f aca="false">IF(D54="",0.3,INDEX('Bid Tiers'!$E$4:$E$7,MATCH(D54,'Bid Tiers'!$B$4:$B$7,1)))</f>
        <v>0.9</v>
      </c>
      <c r="G54" s="14"/>
    </row>
    <row r="55" customFormat="false" ht="15" hidden="false" customHeight="false" outlineLevel="0" collapsed="false">
      <c r="A55" s="23" t="s">
        <v>37</v>
      </c>
      <c r="B55" s="24" t="s">
        <v>139</v>
      </c>
      <c r="C55" s="24" t="s">
        <v>81</v>
      </c>
      <c r="D55" s="15" t="n">
        <v>5</v>
      </c>
      <c r="E55" s="24" t="str">
        <f aca="false">IF(D55="","No Data",INDEX('Bid Tiers'!$A$4:$A$7,MATCH(D55,'Bid Tiers'!$B$4:$B$7,1)))</f>
        <v>Tier D — Below Threshold (&lt;5)</v>
      </c>
      <c r="F55" s="25" t="n">
        <f aca="false">IF(D55="",0.3,INDEX('Bid Tiers'!$E$4:$E$7,MATCH(D55,'Bid Tiers'!$B$4:$B$7,1)))</f>
        <v>0.6</v>
      </c>
      <c r="G55" s="14"/>
    </row>
    <row r="56" customFormat="false" ht="15" hidden="false" customHeight="false" outlineLevel="0" collapsed="false">
      <c r="A56" s="23" t="s">
        <v>37</v>
      </c>
      <c r="B56" s="24" t="s">
        <v>140</v>
      </c>
      <c r="C56" s="24" t="s">
        <v>81</v>
      </c>
      <c r="D56" s="15" t="n">
        <v>43</v>
      </c>
      <c r="E56" s="24" t="str">
        <f aca="false">IF(D56="","No Data",INDEX('Bid Tiers'!$A$4:$A$7,MATCH(D56,'Bid Tiers'!$B$4:$B$7,1)))</f>
        <v>Tier B — Mid Volume</v>
      </c>
      <c r="F56" s="25" t="n">
        <f aca="false">IF(D56="",0.3,INDEX('Bid Tiers'!$E$4:$E$7,MATCH(D56,'Bid Tiers'!$B$4:$B$7,1)))</f>
        <v>1.5</v>
      </c>
      <c r="G56" s="14"/>
    </row>
    <row r="57" customFormat="false" ht="15" hidden="false" customHeight="false" outlineLevel="0" collapsed="false">
      <c r="A57" s="23" t="s">
        <v>37</v>
      </c>
      <c r="B57" s="24" t="s">
        <v>143</v>
      </c>
      <c r="C57" s="24" t="s">
        <v>81</v>
      </c>
      <c r="D57" s="15" t="n">
        <v>47</v>
      </c>
      <c r="E57" s="24" t="str">
        <f aca="false">IF(D57="","No Data",INDEX('Bid Tiers'!$A$4:$A$7,MATCH(D57,'Bid Tiers'!$B$4:$B$7,1)))</f>
        <v>Tier A — Head Term</v>
      </c>
      <c r="F57" s="25" t="n">
        <f aca="false">IF(D57="",0.3,INDEX('Bid Tiers'!$E$4:$E$7,MATCH(D57,'Bid Tiers'!$B$4:$B$7,1)))</f>
        <v>3</v>
      </c>
      <c r="G57" s="14"/>
    </row>
    <row r="58" customFormat="false" ht="15" hidden="false" customHeight="false" outlineLevel="0" collapsed="false">
      <c r="A58" s="23" t="s">
        <v>37</v>
      </c>
      <c r="B58" s="24" t="s">
        <v>141</v>
      </c>
      <c r="C58" s="24" t="s">
        <v>81</v>
      </c>
      <c r="D58" s="15" t="n">
        <v>5</v>
      </c>
      <c r="E58" s="24" t="str">
        <f aca="false">IF(D58="","No Data",INDEX('Bid Tiers'!$A$4:$A$7,MATCH(D58,'Bid Tiers'!$B$4:$B$7,1)))</f>
        <v>Tier D — Below Threshold (&lt;5)</v>
      </c>
      <c r="F58" s="25" t="n">
        <f aca="false">IF(D58="",0.3,INDEX('Bid Tiers'!$E$4:$E$7,MATCH(D58,'Bid Tiers'!$B$4:$B$7,1)))</f>
        <v>0.6</v>
      </c>
      <c r="G58" s="14"/>
    </row>
    <row r="59" customFormat="false" ht="15" hidden="false" customHeight="false" outlineLevel="0" collapsed="false">
      <c r="A59" s="23" t="s">
        <v>37</v>
      </c>
      <c r="B59" s="24" t="s">
        <v>142</v>
      </c>
      <c r="C59" s="24" t="s">
        <v>81</v>
      </c>
      <c r="D59" s="15" t="n">
        <v>5</v>
      </c>
      <c r="E59" s="24" t="str">
        <f aca="false">IF(D59="","No Data",INDEX('Bid Tiers'!$A$4:$A$7,MATCH(D59,'Bid Tiers'!$B$4:$B$7,1)))</f>
        <v>Tier D — Below Threshold (&lt;5)</v>
      </c>
      <c r="F59" s="25" t="n">
        <f aca="false">IF(D59="",0.3,INDEX('Bid Tiers'!$E$4:$E$7,MATCH(D59,'Bid Tiers'!$B$4:$B$7,1)))</f>
        <v>0.6</v>
      </c>
      <c r="G59" s="14"/>
    </row>
    <row r="60" customFormat="false" ht="15" hidden="false" customHeight="false" outlineLevel="0" collapsed="false">
      <c r="A60" s="23" t="s">
        <v>37</v>
      </c>
      <c r="B60" s="24" t="s">
        <v>144</v>
      </c>
      <c r="C60" s="24" t="s">
        <v>81</v>
      </c>
      <c r="D60" s="15" t="n">
        <v>17</v>
      </c>
      <c r="E60" s="24" t="str">
        <f aca="false">IF(D60="","No Data",INDEX('Bid Tiers'!$A$4:$A$7,MATCH(D60,'Bid Tiers'!$B$4:$B$7,1)))</f>
        <v>Tier C — Long-Tail</v>
      </c>
      <c r="F60" s="25" t="n">
        <f aca="false">IF(D60="",0.3,INDEX('Bid Tiers'!$E$4:$E$7,MATCH(D60,'Bid Tiers'!$B$4:$B$7,1)))</f>
        <v>0.9</v>
      </c>
      <c r="G60" s="14"/>
    </row>
    <row r="61" customFormat="false" ht="15" hidden="false" customHeight="false" outlineLevel="0" collapsed="false">
      <c r="A61" s="23" t="s">
        <v>37</v>
      </c>
      <c r="B61" s="24" t="s">
        <v>145</v>
      </c>
      <c r="C61" s="24" t="s">
        <v>81</v>
      </c>
      <c r="D61" s="15" t="n">
        <v>57</v>
      </c>
      <c r="E61" s="24" t="str">
        <f aca="false">IF(D61="","No Data",INDEX('Bid Tiers'!$A$4:$A$7,MATCH(D61,'Bid Tiers'!$B$4:$B$7,1)))</f>
        <v>Tier A — Head Term</v>
      </c>
      <c r="F61" s="25" t="n">
        <f aca="false">IF(D61="",0.3,INDEX('Bid Tiers'!$E$4:$E$7,MATCH(D61,'Bid Tiers'!$B$4:$B$7,1)))</f>
        <v>3</v>
      </c>
      <c r="G61" s="14"/>
    </row>
    <row r="62" customFormat="false" ht="15" hidden="false" customHeight="false" outlineLevel="0" collapsed="false">
      <c r="A62" s="23" t="s">
        <v>37</v>
      </c>
      <c r="B62" s="24" t="s">
        <v>146</v>
      </c>
      <c r="C62" s="24" t="s">
        <v>81</v>
      </c>
      <c r="D62" s="15" t="n">
        <v>5</v>
      </c>
      <c r="E62" s="24" t="str">
        <f aca="false">IF(D62="","No Data",INDEX('Bid Tiers'!$A$4:$A$7,MATCH(D62,'Bid Tiers'!$B$4:$B$7,1)))</f>
        <v>Tier D — Below Threshold (&lt;5)</v>
      </c>
      <c r="F62" s="25" t="n">
        <f aca="false">IF(D62="",0.3,INDEX('Bid Tiers'!$E$4:$E$7,MATCH(D62,'Bid Tiers'!$B$4:$B$7,1)))</f>
        <v>0.6</v>
      </c>
      <c r="G62" s="14"/>
    </row>
    <row r="63" customFormat="false" ht="15" hidden="false" customHeight="false" outlineLevel="0" collapsed="false">
      <c r="A63" s="23" t="s">
        <v>37</v>
      </c>
      <c r="B63" s="24" t="s">
        <v>147</v>
      </c>
      <c r="C63" s="24" t="s">
        <v>81</v>
      </c>
      <c r="D63" s="15" t="n">
        <v>5</v>
      </c>
      <c r="E63" s="24" t="str">
        <f aca="false">IF(D63="","No Data",INDEX('Bid Tiers'!$A$4:$A$7,MATCH(D63,'Bid Tiers'!$B$4:$B$7,1)))</f>
        <v>Tier D — Below Threshold (&lt;5)</v>
      </c>
      <c r="F63" s="25" t="n">
        <f aca="false">IF(D63="",0.3,INDEX('Bid Tiers'!$E$4:$E$7,MATCH(D63,'Bid Tiers'!$B$4:$B$7,1)))</f>
        <v>0.6</v>
      </c>
      <c r="G63" s="14"/>
    </row>
    <row r="64" customFormat="false" ht="15" hidden="false" customHeight="false" outlineLevel="0" collapsed="false">
      <c r="A64" s="23" t="s">
        <v>37</v>
      </c>
      <c r="B64" s="24" t="s">
        <v>148</v>
      </c>
      <c r="C64" s="24" t="s">
        <v>81</v>
      </c>
      <c r="D64" s="15" t="n">
        <v>45</v>
      </c>
      <c r="E64" s="24" t="str">
        <f aca="false">IF(D64="","No Data",INDEX('Bid Tiers'!$A$4:$A$7,MATCH(D64,'Bid Tiers'!$B$4:$B$7,1)))</f>
        <v>Tier A — Head Term</v>
      </c>
      <c r="F64" s="25" t="n">
        <f aca="false">IF(D64="",0.3,INDEX('Bid Tiers'!$E$4:$E$7,MATCH(D64,'Bid Tiers'!$B$4:$B$7,1)))</f>
        <v>3</v>
      </c>
      <c r="G64" s="14"/>
    </row>
    <row r="65" customFormat="false" ht="15" hidden="false" customHeight="false" outlineLevel="0" collapsed="false">
      <c r="A65" s="23" t="s">
        <v>37</v>
      </c>
      <c r="B65" s="24" t="s">
        <v>149</v>
      </c>
      <c r="C65" s="24" t="s">
        <v>81</v>
      </c>
      <c r="D65" s="15" t="n">
        <v>47</v>
      </c>
      <c r="E65" s="24" t="str">
        <f aca="false">IF(D65="","No Data",INDEX('Bid Tiers'!$A$4:$A$7,MATCH(D65,'Bid Tiers'!$B$4:$B$7,1)))</f>
        <v>Tier A — Head Term</v>
      </c>
      <c r="F65" s="25" t="n">
        <f aca="false">IF(D65="",0.3,INDEX('Bid Tiers'!$E$4:$E$7,MATCH(D65,'Bid Tiers'!$B$4:$B$7,1)))</f>
        <v>3</v>
      </c>
      <c r="G65" s="14"/>
    </row>
    <row r="66" customFormat="false" ht="15" hidden="false" customHeight="false" outlineLevel="0" collapsed="false">
      <c r="A66" s="23" t="s">
        <v>37</v>
      </c>
      <c r="B66" s="24" t="s">
        <v>150</v>
      </c>
      <c r="C66" s="24" t="s">
        <v>81</v>
      </c>
      <c r="D66" s="15" t="n">
        <v>5</v>
      </c>
      <c r="E66" s="24" t="str">
        <f aca="false">IF(D66="","No Data",INDEX('Bid Tiers'!$A$4:$A$7,MATCH(D66,'Bid Tiers'!$B$4:$B$7,1)))</f>
        <v>Tier D — Below Threshold (&lt;5)</v>
      </c>
      <c r="F66" s="25" t="n">
        <f aca="false">IF(D66="",0.3,INDEX('Bid Tiers'!$E$4:$E$7,MATCH(D66,'Bid Tiers'!$B$4:$B$7,1)))</f>
        <v>0.6</v>
      </c>
      <c r="G66" s="14"/>
    </row>
    <row r="67" customFormat="false" ht="15" hidden="false" customHeight="false" outlineLevel="0" collapsed="false">
      <c r="A67" s="23" t="s">
        <v>37</v>
      </c>
      <c r="B67" s="24" t="s">
        <v>151</v>
      </c>
      <c r="C67" s="24" t="s">
        <v>81</v>
      </c>
      <c r="D67" s="15" t="n">
        <v>5</v>
      </c>
      <c r="E67" s="24" t="str">
        <f aca="false">IF(D67="","No Data",INDEX('Bid Tiers'!$A$4:$A$7,MATCH(D67,'Bid Tiers'!$B$4:$B$7,1)))</f>
        <v>Tier D — Below Threshold (&lt;5)</v>
      </c>
      <c r="F67" s="25" t="n">
        <f aca="false">IF(D67="",0.3,INDEX('Bid Tiers'!$E$4:$E$7,MATCH(D67,'Bid Tiers'!$B$4:$B$7,1)))</f>
        <v>0.6</v>
      </c>
      <c r="G67" s="14"/>
    </row>
    <row r="68" customFormat="false" ht="15" hidden="false" customHeight="false" outlineLevel="0" collapsed="false">
      <c r="A68" s="23" t="s">
        <v>37</v>
      </c>
      <c r="B68" s="24" t="s">
        <v>152</v>
      </c>
      <c r="C68" s="24" t="s">
        <v>81</v>
      </c>
      <c r="D68" s="15" t="n">
        <v>5</v>
      </c>
      <c r="E68" s="24" t="str">
        <f aca="false">IF(D68="","No Data",INDEX('Bid Tiers'!$A$4:$A$7,MATCH(D68,'Bid Tiers'!$B$4:$B$7,1)))</f>
        <v>Tier D — Below Threshold (&lt;5)</v>
      </c>
      <c r="F68" s="25" t="n">
        <f aca="false">IF(D68="",0.3,INDEX('Bid Tiers'!$E$4:$E$7,MATCH(D68,'Bid Tiers'!$B$4:$B$7,1)))</f>
        <v>0.6</v>
      </c>
      <c r="G68" s="14"/>
    </row>
    <row r="69" customFormat="false" ht="15" hidden="false" customHeight="false" outlineLevel="0" collapsed="false">
      <c r="A69" s="23" t="s">
        <v>37</v>
      </c>
      <c r="B69" s="24" t="s">
        <v>153</v>
      </c>
      <c r="C69" s="24" t="s">
        <v>81</v>
      </c>
      <c r="D69" s="15" t="n">
        <v>5</v>
      </c>
      <c r="E69" s="24" t="str">
        <f aca="false">IF(D69="","No Data",INDEX('Bid Tiers'!$A$4:$A$7,MATCH(D69,'Bid Tiers'!$B$4:$B$7,1)))</f>
        <v>Tier D — Below Threshold (&lt;5)</v>
      </c>
      <c r="F69" s="25" t="n">
        <f aca="false">IF(D69="",0.3,INDEX('Bid Tiers'!$E$4:$E$7,MATCH(D69,'Bid Tiers'!$B$4:$B$7,1)))</f>
        <v>0.6</v>
      </c>
      <c r="G69" s="14"/>
    </row>
    <row r="70" customFormat="false" ht="15" hidden="false" customHeight="false" outlineLevel="0" collapsed="false">
      <c r="A70" s="23" t="s">
        <v>37</v>
      </c>
      <c r="B70" s="24" t="s">
        <v>154</v>
      </c>
      <c r="C70" s="24" t="s">
        <v>81</v>
      </c>
      <c r="D70" s="15" t="n">
        <v>5</v>
      </c>
      <c r="E70" s="24" t="str">
        <f aca="false">IF(D70="","No Data",INDEX('Bid Tiers'!$A$4:$A$7,MATCH(D70,'Bid Tiers'!$B$4:$B$7,1)))</f>
        <v>Tier D — Below Threshold (&lt;5)</v>
      </c>
      <c r="F70" s="25" t="n">
        <f aca="false">IF(D70="",0.3,INDEX('Bid Tiers'!$E$4:$E$7,MATCH(D70,'Bid Tiers'!$B$4:$B$7,1)))</f>
        <v>0.6</v>
      </c>
      <c r="G70" s="14"/>
    </row>
    <row r="71" customFormat="false" ht="15" hidden="false" customHeight="false" outlineLevel="0" collapsed="false">
      <c r="A71" s="23" t="s">
        <v>37</v>
      </c>
      <c r="B71" s="24" t="s">
        <v>155</v>
      </c>
      <c r="C71" s="24" t="s">
        <v>81</v>
      </c>
      <c r="D71" s="15" t="n">
        <v>5</v>
      </c>
      <c r="E71" s="24" t="str">
        <f aca="false">IF(D71="","No Data",INDEX('Bid Tiers'!$A$4:$A$7,MATCH(D71,'Bid Tiers'!$B$4:$B$7,1)))</f>
        <v>Tier D — Below Threshold (&lt;5)</v>
      </c>
      <c r="F71" s="25" t="n">
        <f aca="false">IF(D71="",0.3,INDEX('Bid Tiers'!$E$4:$E$7,MATCH(D71,'Bid Tiers'!$B$4:$B$7,1)))</f>
        <v>0.6</v>
      </c>
      <c r="G71" s="14"/>
    </row>
    <row r="72" customFormat="false" ht="15" hidden="false" customHeight="false" outlineLevel="0" collapsed="false">
      <c r="A72" s="23" t="s">
        <v>37</v>
      </c>
      <c r="B72" s="24" t="s">
        <v>156</v>
      </c>
      <c r="C72" s="24" t="s">
        <v>81</v>
      </c>
      <c r="D72" s="15" t="n">
        <v>58</v>
      </c>
      <c r="E72" s="24" t="str">
        <f aca="false">IF(D72="","No Data",INDEX('Bid Tiers'!$A$4:$A$7,MATCH(D72,'Bid Tiers'!$B$4:$B$7,1)))</f>
        <v>Tier A — Head Term</v>
      </c>
      <c r="F72" s="25" t="n">
        <f aca="false">IF(D72="",0.3,INDEX('Bid Tiers'!$E$4:$E$7,MATCH(D72,'Bid Tiers'!$B$4:$B$7,1)))</f>
        <v>3</v>
      </c>
      <c r="G72" s="14"/>
    </row>
    <row r="73" customFormat="false" ht="15" hidden="false" customHeight="false" outlineLevel="0" collapsed="false">
      <c r="A73" s="23" t="s">
        <v>40</v>
      </c>
      <c r="B73" s="24" t="s">
        <v>157</v>
      </c>
      <c r="C73" s="24" t="s">
        <v>81</v>
      </c>
      <c r="D73" s="15" t="n">
        <v>44</v>
      </c>
      <c r="E73" s="24" t="str">
        <f aca="false">IF(D73="","No Data",INDEX('Bid Tiers'!$A$4:$A$7,MATCH(D73,'Bid Tiers'!$B$4:$B$7,1)))</f>
        <v>Tier B — Mid Volume</v>
      </c>
      <c r="F73" s="25" t="n">
        <f aca="false">IF(D73="",0.3,INDEX('Bid Tiers'!$E$4:$E$7,MATCH(D73,'Bid Tiers'!$B$4:$B$7,1)))</f>
        <v>1.5</v>
      </c>
      <c r="G73" s="14"/>
    </row>
    <row r="74" customFormat="false" ht="15" hidden="false" customHeight="false" outlineLevel="0" collapsed="false">
      <c r="A74" s="23" t="s">
        <v>40</v>
      </c>
      <c r="B74" s="24" t="s">
        <v>158</v>
      </c>
      <c r="C74" s="24" t="s">
        <v>81</v>
      </c>
      <c r="D74" s="15" t="n">
        <v>5</v>
      </c>
      <c r="E74" s="24" t="str">
        <f aca="false">IF(D74="","No Data",INDEX('Bid Tiers'!$A$4:$A$7,MATCH(D74,'Bid Tiers'!$B$4:$B$7,1)))</f>
        <v>Tier D — Below Threshold (&lt;5)</v>
      </c>
      <c r="F74" s="25" t="n">
        <f aca="false">IF(D74="",0.3,INDEX('Bid Tiers'!$E$4:$E$7,MATCH(D74,'Bid Tiers'!$B$4:$B$7,1)))</f>
        <v>0.6</v>
      </c>
      <c r="G74" s="14"/>
    </row>
    <row r="75" customFormat="false" ht="35.05" hidden="false" customHeight="false" outlineLevel="0" collapsed="false">
      <c r="A75" s="23" t="s">
        <v>40</v>
      </c>
      <c r="B75" s="24" t="s">
        <v>159</v>
      </c>
      <c r="C75" s="24" t="s">
        <v>81</v>
      </c>
      <c r="D75" s="15" t="n">
        <v>50</v>
      </c>
      <c r="E75" s="24" t="str">
        <f aca="false">IF(D75="","No Data",INDEX('Bid Tiers'!$A$4:$A$7,MATCH(D75,'Bid Tiers'!$B$4:$B$7,1)))</f>
        <v>Tier A — Head Term</v>
      </c>
      <c r="F75" s="25" t="n">
        <f aca="false">IF(D75="",0.3,INDEX('Bid Tiers'!$E$4:$E$7,MATCH(D75,'Bid Tiers'!$B$4:$B$7,1)))</f>
        <v>3</v>
      </c>
      <c r="G75" s="14" t="s">
        <v>160</v>
      </c>
    </row>
    <row r="76" customFormat="false" ht="15" hidden="false" customHeight="false" outlineLevel="0" collapsed="false">
      <c r="A76" s="23" t="s">
        <v>40</v>
      </c>
      <c r="B76" s="24" t="s">
        <v>161</v>
      </c>
      <c r="C76" s="24" t="s">
        <v>81</v>
      </c>
      <c r="D76" s="15" t="n">
        <v>55</v>
      </c>
      <c r="E76" s="24" t="str">
        <f aca="false">IF(D76="","No Data",INDEX('Bid Tiers'!$A$4:$A$7,MATCH(D76,'Bid Tiers'!$B$4:$B$7,1)))</f>
        <v>Tier A — Head Term</v>
      </c>
      <c r="F76" s="25" t="n">
        <f aca="false">IF(D76="",0.3,INDEX('Bid Tiers'!$E$4:$E$7,MATCH(D76,'Bid Tiers'!$B$4:$B$7,1)))</f>
        <v>3</v>
      </c>
      <c r="G76" s="14"/>
    </row>
    <row r="77" customFormat="false" ht="15" hidden="false" customHeight="false" outlineLevel="0" collapsed="false">
      <c r="A77" s="23" t="s">
        <v>40</v>
      </c>
      <c r="B77" s="24" t="s">
        <v>162</v>
      </c>
      <c r="C77" s="24" t="s">
        <v>81</v>
      </c>
      <c r="D77" s="15" t="n">
        <v>46</v>
      </c>
      <c r="E77" s="24" t="str">
        <f aca="false">IF(D77="","No Data",INDEX('Bid Tiers'!$A$4:$A$7,MATCH(D77,'Bid Tiers'!$B$4:$B$7,1)))</f>
        <v>Tier A — Head Term</v>
      </c>
      <c r="F77" s="25" t="n">
        <f aca="false">IF(D77="",0.3,INDEX('Bid Tiers'!$E$4:$E$7,MATCH(D77,'Bid Tiers'!$B$4:$B$7,1)))</f>
        <v>3</v>
      </c>
      <c r="G77" s="14"/>
    </row>
    <row r="78" customFormat="false" ht="15" hidden="false" customHeight="false" outlineLevel="0" collapsed="false">
      <c r="A78" s="23" t="s">
        <v>40</v>
      </c>
      <c r="B78" s="24" t="s">
        <v>163</v>
      </c>
      <c r="C78" s="24" t="s">
        <v>81</v>
      </c>
      <c r="D78" s="15" t="n">
        <v>53</v>
      </c>
      <c r="E78" s="24" t="str">
        <f aca="false">IF(D78="","No Data",INDEX('Bid Tiers'!$A$4:$A$7,MATCH(D78,'Bid Tiers'!$B$4:$B$7,1)))</f>
        <v>Tier A — Head Term</v>
      </c>
      <c r="F78" s="25" t="n">
        <f aca="false">IF(D78="",0.3,INDEX('Bid Tiers'!$E$4:$E$7,MATCH(D78,'Bid Tiers'!$B$4:$B$7,1)))</f>
        <v>3</v>
      </c>
      <c r="G78" s="14"/>
    </row>
    <row r="79" customFormat="false" ht="15" hidden="false" customHeight="false" outlineLevel="0" collapsed="false">
      <c r="A79" s="23" t="s">
        <v>43</v>
      </c>
      <c r="B79" s="24" t="s">
        <v>164</v>
      </c>
      <c r="C79" s="24" t="s">
        <v>81</v>
      </c>
      <c r="D79" s="15" t="n">
        <v>54</v>
      </c>
      <c r="E79" s="24" t="str">
        <f aca="false">IF(D79="","No Data",INDEX('Bid Tiers'!$A$4:$A$7,MATCH(D79,'Bid Tiers'!$B$4:$B$7,1)))</f>
        <v>Tier A — Head Term</v>
      </c>
      <c r="F79" s="25" t="n">
        <f aca="false">IF(D79="",0.3,INDEX('Bid Tiers'!$E$4:$E$7,MATCH(D79,'Bid Tiers'!$B$4:$B$7,1)))</f>
        <v>3</v>
      </c>
      <c r="G79" s="14"/>
    </row>
    <row r="80" customFormat="false" ht="15" hidden="false" customHeight="false" outlineLevel="0" collapsed="false">
      <c r="A80" s="23" t="s">
        <v>43</v>
      </c>
      <c r="B80" s="24" t="s">
        <v>165</v>
      </c>
      <c r="C80" s="24" t="s">
        <v>81</v>
      </c>
      <c r="D80" s="15" t="n">
        <v>47</v>
      </c>
      <c r="E80" s="24" t="str">
        <f aca="false">IF(D80="","No Data",INDEX('Bid Tiers'!$A$4:$A$7,MATCH(D80,'Bid Tiers'!$B$4:$B$7,1)))</f>
        <v>Tier A — Head Term</v>
      </c>
      <c r="F80" s="25" t="n">
        <f aca="false">IF(D80="",0.3,INDEX('Bid Tiers'!$E$4:$E$7,MATCH(D80,'Bid Tiers'!$B$4:$B$7,1)))</f>
        <v>3</v>
      </c>
      <c r="G80" s="14"/>
    </row>
    <row r="81" customFormat="false" ht="23.85" hidden="false" customHeight="false" outlineLevel="0" collapsed="false">
      <c r="A81" s="23" t="s">
        <v>43</v>
      </c>
      <c r="B81" s="24" t="s">
        <v>166</v>
      </c>
      <c r="C81" s="24" t="s">
        <v>81</v>
      </c>
      <c r="D81" s="15" t="n">
        <v>61</v>
      </c>
      <c r="E81" s="24" t="str">
        <f aca="false">IF(D81="","No Data",INDEX('Bid Tiers'!$A$4:$A$7,MATCH(D81,'Bid Tiers'!$B$4:$B$7,1)))</f>
        <v>Tier A — Head Term</v>
      </c>
      <c r="F81" s="25" t="n">
        <f aca="false">IF(D81="",0.3,INDEX('Bid Tiers'!$E$4:$E$7,MATCH(D81,'Bid Tiers'!$B$4:$B$7,1)))</f>
        <v>3</v>
      </c>
      <c r="G81" s="14" t="s">
        <v>167</v>
      </c>
    </row>
    <row r="82" customFormat="false" ht="15" hidden="false" customHeight="false" outlineLevel="0" collapsed="false">
      <c r="A82" s="23" t="s">
        <v>43</v>
      </c>
      <c r="B82" s="24" t="s">
        <v>168</v>
      </c>
      <c r="C82" s="24" t="s">
        <v>81</v>
      </c>
      <c r="D82" s="15" t="n">
        <v>49</v>
      </c>
      <c r="E82" s="24" t="str">
        <f aca="false">IF(D82="","No Data",INDEX('Bid Tiers'!$A$4:$A$7,MATCH(D82,'Bid Tiers'!$B$4:$B$7,1)))</f>
        <v>Tier A — Head Term</v>
      </c>
      <c r="F82" s="25" t="n">
        <f aca="false">IF(D82="",0.3,INDEX('Bid Tiers'!$E$4:$E$7,MATCH(D82,'Bid Tiers'!$B$4:$B$7,1)))</f>
        <v>3</v>
      </c>
      <c r="G82" s="14"/>
    </row>
    <row r="83" customFormat="false" ht="15" hidden="false" customHeight="false" outlineLevel="0" collapsed="false">
      <c r="A83" s="23" t="s">
        <v>43</v>
      </c>
      <c r="B83" s="24" t="s">
        <v>169</v>
      </c>
      <c r="C83" s="24" t="s">
        <v>81</v>
      </c>
      <c r="D83" s="15" t="n">
        <v>5</v>
      </c>
      <c r="E83" s="24" t="str">
        <f aca="false">IF(D83="","No Data",INDEX('Bid Tiers'!$A$4:$A$7,MATCH(D83,'Bid Tiers'!$B$4:$B$7,1)))</f>
        <v>Tier D — Below Threshold (&lt;5)</v>
      </c>
      <c r="F83" s="25" t="n">
        <f aca="false">IF(D83="",0.3,INDEX('Bid Tiers'!$E$4:$E$7,MATCH(D83,'Bid Tiers'!$B$4:$B$7,1)))</f>
        <v>0.6</v>
      </c>
      <c r="G83" s="14"/>
    </row>
    <row r="84" customFormat="false" ht="15" hidden="false" customHeight="false" outlineLevel="0" collapsed="false">
      <c r="A84" s="23" t="s">
        <v>43</v>
      </c>
      <c r="B84" s="24" t="s">
        <v>170</v>
      </c>
      <c r="C84" s="24" t="s">
        <v>81</v>
      </c>
      <c r="D84" s="15" t="n">
        <v>51</v>
      </c>
      <c r="E84" s="24" t="str">
        <f aca="false">IF(D84="","No Data",INDEX('Bid Tiers'!$A$4:$A$7,MATCH(D84,'Bid Tiers'!$B$4:$B$7,1)))</f>
        <v>Tier A — Head Term</v>
      </c>
      <c r="F84" s="25" t="n">
        <f aca="false">IF(D84="",0.3,INDEX('Bid Tiers'!$E$4:$E$7,MATCH(D84,'Bid Tiers'!$B$4:$B$7,1)))</f>
        <v>3</v>
      </c>
      <c r="G84" s="14"/>
    </row>
    <row r="85" customFormat="false" ht="15" hidden="false" customHeight="false" outlineLevel="0" collapsed="false">
      <c r="A85" s="23" t="s">
        <v>43</v>
      </c>
      <c r="B85" s="24" t="s">
        <v>171</v>
      </c>
      <c r="C85" s="24" t="s">
        <v>81</v>
      </c>
      <c r="D85" s="15" t="n">
        <v>46</v>
      </c>
      <c r="E85" s="24" t="str">
        <f aca="false">IF(D85="","No Data",INDEX('Bid Tiers'!$A$4:$A$7,MATCH(D85,'Bid Tiers'!$B$4:$B$7,1)))</f>
        <v>Tier A — Head Term</v>
      </c>
      <c r="F85" s="25" t="n">
        <f aca="false">IF(D85="",0.3,INDEX('Bid Tiers'!$E$4:$E$7,MATCH(D85,'Bid Tiers'!$B$4:$B$7,1)))</f>
        <v>3</v>
      </c>
      <c r="G85" s="14"/>
    </row>
    <row r="86" customFormat="false" ht="15" hidden="false" customHeight="false" outlineLevel="0" collapsed="false">
      <c r="A86" s="23" t="s">
        <v>43</v>
      </c>
      <c r="B86" s="24" t="s">
        <v>172</v>
      </c>
      <c r="C86" s="24" t="s">
        <v>81</v>
      </c>
      <c r="D86" s="15" t="n">
        <v>5</v>
      </c>
      <c r="E86" s="24" t="str">
        <f aca="false">IF(D86="","No Data",INDEX('Bid Tiers'!$A$4:$A$7,MATCH(D86,'Bid Tiers'!$B$4:$B$7,1)))</f>
        <v>Tier D — Below Threshold (&lt;5)</v>
      </c>
      <c r="F86" s="25" t="n">
        <f aca="false">IF(D86="",0.3,INDEX('Bid Tiers'!$E$4:$E$7,MATCH(D86,'Bid Tiers'!$B$4:$B$7,1)))</f>
        <v>0.6</v>
      </c>
      <c r="G86" s="14"/>
    </row>
    <row r="87" customFormat="false" ht="15" hidden="false" customHeight="false" outlineLevel="0" collapsed="false">
      <c r="A87" s="23" t="s">
        <v>43</v>
      </c>
      <c r="B87" s="24" t="s">
        <v>173</v>
      </c>
      <c r="C87" s="24" t="s">
        <v>81</v>
      </c>
      <c r="D87" s="15" t="n">
        <v>5</v>
      </c>
      <c r="E87" s="24" t="str">
        <f aca="false">IF(D87="","No Data",INDEX('Bid Tiers'!$A$4:$A$7,MATCH(D87,'Bid Tiers'!$B$4:$B$7,1)))</f>
        <v>Tier D — Below Threshold (&lt;5)</v>
      </c>
      <c r="F87" s="25" t="n">
        <f aca="false">IF(D87="",0.3,INDEX('Bid Tiers'!$E$4:$E$7,MATCH(D87,'Bid Tiers'!$B$4:$B$7,1)))</f>
        <v>0.6</v>
      </c>
      <c r="G87" s="14"/>
    </row>
    <row r="88" customFormat="false" ht="15" hidden="false" customHeight="false" outlineLevel="0" collapsed="false">
      <c r="A88" s="23" t="s">
        <v>43</v>
      </c>
      <c r="B88" s="24" t="s">
        <v>174</v>
      </c>
      <c r="C88" s="24" t="s">
        <v>81</v>
      </c>
      <c r="D88" s="15" t="n">
        <v>40</v>
      </c>
      <c r="E88" s="24" t="str">
        <f aca="false">IF(D88="","No Data",INDEX('Bid Tiers'!$A$4:$A$7,MATCH(D88,'Bid Tiers'!$B$4:$B$7,1)))</f>
        <v>Tier B — Mid Volume</v>
      </c>
      <c r="F88" s="25" t="n">
        <f aca="false">IF(D88="",0.3,INDEX('Bid Tiers'!$E$4:$E$7,MATCH(D88,'Bid Tiers'!$B$4:$B$7,1)))</f>
        <v>1.5</v>
      </c>
      <c r="G88" s="14"/>
    </row>
    <row r="89" customFormat="false" ht="15" hidden="false" customHeight="false" outlineLevel="0" collapsed="false">
      <c r="A89" s="23" t="s">
        <v>43</v>
      </c>
      <c r="B89" s="24" t="s">
        <v>175</v>
      </c>
      <c r="C89" s="24" t="s">
        <v>81</v>
      </c>
      <c r="D89" s="15" t="n">
        <v>5</v>
      </c>
      <c r="E89" s="24" t="str">
        <f aca="false">IF(D89="","No Data",INDEX('Bid Tiers'!$A$4:$A$7,MATCH(D89,'Bid Tiers'!$B$4:$B$7,1)))</f>
        <v>Tier D — Below Threshold (&lt;5)</v>
      </c>
      <c r="F89" s="25" t="n">
        <f aca="false">IF(D89="",0.3,INDEX('Bid Tiers'!$E$4:$E$7,MATCH(D89,'Bid Tiers'!$B$4:$B$7,1)))</f>
        <v>0.6</v>
      </c>
      <c r="G89" s="14"/>
    </row>
    <row r="90" customFormat="false" ht="15" hidden="false" customHeight="false" outlineLevel="0" collapsed="false">
      <c r="A90" s="23" t="s">
        <v>46</v>
      </c>
      <c r="B90" s="24" t="s">
        <v>176</v>
      </c>
      <c r="C90" s="24" t="s">
        <v>81</v>
      </c>
      <c r="D90" s="15" t="n">
        <v>47</v>
      </c>
      <c r="E90" s="24" t="str">
        <f aca="false">IF(D90="","No Data",INDEX('Bid Tiers'!$A$4:$A$7,MATCH(D90,'Bid Tiers'!$B$4:$B$7,1)))</f>
        <v>Tier A — Head Term</v>
      </c>
      <c r="F90" s="25" t="n">
        <f aca="false">IF(D90="",0.3,INDEX('Bid Tiers'!$E$4:$E$7,MATCH(D90,'Bid Tiers'!$B$4:$B$7,1)))</f>
        <v>3</v>
      </c>
      <c r="G90" s="14"/>
    </row>
    <row r="91" customFormat="false" ht="15" hidden="false" customHeight="false" outlineLevel="0" collapsed="false">
      <c r="A91" s="23" t="s">
        <v>46</v>
      </c>
      <c r="B91" s="24" t="s">
        <v>177</v>
      </c>
      <c r="C91" s="24" t="s">
        <v>81</v>
      </c>
      <c r="D91" s="15" t="n">
        <v>5</v>
      </c>
      <c r="E91" s="24" t="str">
        <f aca="false">IF(D91="","No Data",INDEX('Bid Tiers'!$A$4:$A$7,MATCH(D91,'Bid Tiers'!$B$4:$B$7,1)))</f>
        <v>Tier D — Below Threshold (&lt;5)</v>
      </c>
      <c r="F91" s="25" t="n">
        <f aca="false">IF(D91="",0.3,INDEX('Bid Tiers'!$E$4:$E$7,MATCH(D91,'Bid Tiers'!$B$4:$B$7,1)))</f>
        <v>0.6</v>
      </c>
      <c r="G91" s="14"/>
    </row>
    <row r="92" customFormat="false" ht="15" hidden="false" customHeight="false" outlineLevel="0" collapsed="false">
      <c r="A92" s="23" t="s">
        <v>46</v>
      </c>
      <c r="B92" s="24" t="s">
        <v>178</v>
      </c>
      <c r="C92" s="24" t="s">
        <v>81</v>
      </c>
      <c r="D92" s="15" t="n">
        <v>5</v>
      </c>
      <c r="E92" s="24" t="str">
        <f aca="false">IF(D92="","No Data",INDEX('Bid Tiers'!$A$4:$A$7,MATCH(D92,'Bid Tiers'!$B$4:$B$7,1)))</f>
        <v>Tier D — Below Threshold (&lt;5)</v>
      </c>
      <c r="F92" s="25" t="n">
        <f aca="false">IF(D92="",0.3,INDEX('Bid Tiers'!$E$4:$E$7,MATCH(D92,'Bid Tiers'!$B$4:$B$7,1)))</f>
        <v>0.6</v>
      </c>
      <c r="G92" s="14"/>
    </row>
    <row r="93" customFormat="false" ht="15" hidden="false" customHeight="false" outlineLevel="0" collapsed="false">
      <c r="A93" s="23" t="s">
        <v>46</v>
      </c>
      <c r="B93" s="24" t="s">
        <v>179</v>
      </c>
      <c r="C93" s="24" t="s">
        <v>81</v>
      </c>
      <c r="D93" s="15" t="n">
        <v>5</v>
      </c>
      <c r="E93" s="24" t="str">
        <f aca="false">IF(D93="","No Data",INDEX('Bid Tiers'!$A$4:$A$7,MATCH(D93,'Bid Tiers'!$B$4:$B$7,1)))</f>
        <v>Tier D — Below Threshold (&lt;5)</v>
      </c>
      <c r="F93" s="25" t="n">
        <f aca="false">IF(D93="",0.3,INDEX('Bid Tiers'!$E$4:$E$7,MATCH(D93,'Bid Tiers'!$B$4:$B$7,1)))</f>
        <v>0.6</v>
      </c>
      <c r="G93" s="14"/>
    </row>
    <row r="94" customFormat="false" ht="35.05" hidden="false" customHeight="false" outlineLevel="0" collapsed="false">
      <c r="A94" s="23" t="s">
        <v>46</v>
      </c>
      <c r="B94" s="24" t="s">
        <v>180</v>
      </c>
      <c r="C94" s="24" t="s">
        <v>81</v>
      </c>
      <c r="D94" s="15"/>
      <c r="E94" s="24" t="str">
        <f aca="false">IF(D94="","No Data",INDEX('Bid Tiers'!$A$4:$A$7,MATCH(D94,'Bid Tiers'!$B$4:$B$7,1)))</f>
        <v>No Data</v>
      </c>
      <c r="F94" s="25" t="n">
        <f aca="false">IF(D94="",0.3,INDEX('Bid Tiers'!$E$4:$E$7,MATCH(D94,'Bid Tiers'!$B$4:$B$7,1)))</f>
        <v>0.3</v>
      </c>
      <c r="G94" s="14" t="s">
        <v>181</v>
      </c>
    </row>
    <row r="95" customFormat="false" ht="15" hidden="false" customHeight="false" outlineLevel="0" collapsed="false">
      <c r="A95" s="23" t="s">
        <v>46</v>
      </c>
      <c r="B95" s="24" t="s">
        <v>182</v>
      </c>
      <c r="C95" s="24" t="s">
        <v>81</v>
      </c>
      <c r="D95" s="15" t="n">
        <v>5</v>
      </c>
      <c r="E95" s="24" t="str">
        <f aca="false">IF(D95="","No Data",INDEX('Bid Tiers'!$A$4:$A$7,MATCH(D95,'Bid Tiers'!$B$4:$B$7,1)))</f>
        <v>Tier D — Below Threshold (&lt;5)</v>
      </c>
      <c r="F95" s="25" t="n">
        <f aca="false">IF(D95="",0.3,INDEX('Bid Tiers'!$E$4:$E$7,MATCH(D95,'Bid Tiers'!$B$4:$B$7,1)))</f>
        <v>0.6</v>
      </c>
      <c r="G95" s="14"/>
    </row>
    <row r="96" customFormat="false" ht="15" hidden="false" customHeight="false" outlineLevel="0" collapsed="false">
      <c r="A96" s="23" t="s">
        <v>46</v>
      </c>
      <c r="B96" s="24" t="s">
        <v>183</v>
      </c>
      <c r="C96" s="24" t="s">
        <v>81</v>
      </c>
      <c r="D96" s="15"/>
      <c r="E96" s="24" t="str">
        <f aca="false">IF(D96="","No Data",INDEX('Bid Tiers'!$A$4:$A$7,MATCH(D96,'Bid Tiers'!$B$4:$B$7,1)))</f>
        <v>No Data</v>
      </c>
      <c r="F96" s="25" t="n">
        <f aca="false">IF(D96="",0.3,INDEX('Bid Tiers'!$E$4:$E$7,MATCH(D96,'Bid Tiers'!$B$4:$B$7,1)))</f>
        <v>0.3</v>
      </c>
      <c r="G96" s="14"/>
    </row>
    <row r="97" customFormat="false" ht="15" hidden="false" customHeight="false" outlineLevel="0" collapsed="false">
      <c r="A97" s="23" t="s">
        <v>46</v>
      </c>
      <c r="B97" s="24" t="s">
        <v>184</v>
      </c>
      <c r="C97" s="24" t="s">
        <v>81</v>
      </c>
      <c r="D97" s="15" t="n">
        <v>16</v>
      </c>
      <c r="E97" s="24" t="str">
        <f aca="false">IF(D97="","No Data",INDEX('Bid Tiers'!$A$4:$A$7,MATCH(D97,'Bid Tiers'!$B$4:$B$7,1)))</f>
        <v>Tier C — Long-Tail</v>
      </c>
      <c r="F97" s="25" t="n">
        <f aca="false">IF(D97="",0.3,INDEX('Bid Tiers'!$E$4:$E$7,MATCH(D97,'Bid Tiers'!$B$4:$B$7,1)))</f>
        <v>0.9</v>
      </c>
      <c r="G97" s="14"/>
    </row>
    <row r="98" customFormat="false" ht="15" hidden="false" customHeight="false" outlineLevel="0" collapsed="false">
      <c r="A98" s="23" t="s">
        <v>46</v>
      </c>
      <c r="B98" s="24" t="s">
        <v>185</v>
      </c>
      <c r="C98" s="24" t="s">
        <v>81</v>
      </c>
      <c r="D98" s="15" t="n">
        <v>19</v>
      </c>
      <c r="E98" s="24" t="str">
        <f aca="false">IF(D98="","No Data",INDEX('Bid Tiers'!$A$4:$A$7,MATCH(D98,'Bid Tiers'!$B$4:$B$7,1)))</f>
        <v>Tier C — Long-Tail</v>
      </c>
      <c r="F98" s="25" t="n">
        <f aca="false">IF(D98="",0.3,INDEX('Bid Tiers'!$E$4:$E$7,MATCH(D98,'Bid Tiers'!$B$4:$B$7,1)))</f>
        <v>0.9</v>
      </c>
      <c r="G98" s="14"/>
    </row>
    <row r="99" customFormat="false" ht="15" hidden="false" customHeight="false" outlineLevel="0" collapsed="false">
      <c r="A99" s="23" t="s">
        <v>46</v>
      </c>
      <c r="B99" s="24" t="s">
        <v>186</v>
      </c>
      <c r="C99" s="24" t="s">
        <v>81</v>
      </c>
      <c r="D99" s="15" t="n">
        <v>5</v>
      </c>
      <c r="E99" s="24" t="str">
        <f aca="false">IF(D99="","No Data",INDEX('Bid Tiers'!$A$4:$A$7,MATCH(D99,'Bid Tiers'!$B$4:$B$7,1)))</f>
        <v>Tier D — Below Threshold (&lt;5)</v>
      </c>
      <c r="F99" s="25" t="n">
        <f aca="false">IF(D99="",0.3,INDEX('Bid Tiers'!$E$4:$E$7,MATCH(D99,'Bid Tiers'!$B$4:$B$7,1)))</f>
        <v>0.6</v>
      </c>
      <c r="G99" s="14"/>
    </row>
    <row r="100" customFormat="false" ht="15" hidden="false" customHeight="false" outlineLevel="0" collapsed="false">
      <c r="A100" s="23" t="s">
        <v>49</v>
      </c>
      <c r="B100" s="24" t="s">
        <v>187</v>
      </c>
      <c r="C100" s="24" t="s">
        <v>81</v>
      </c>
      <c r="D100" s="15" t="n">
        <v>48</v>
      </c>
      <c r="E100" s="24" t="str">
        <f aca="false">IF(D100="","No Data",INDEX('Bid Tiers'!$A$4:$A$7,MATCH(D100,'Bid Tiers'!$B$4:$B$7,1)))</f>
        <v>Tier A — Head Term</v>
      </c>
      <c r="F100" s="25" t="n">
        <f aca="false">IF(D100="",0.3,INDEX('Bid Tiers'!$E$4:$E$7,MATCH(D100,'Bid Tiers'!$B$4:$B$7,1)))</f>
        <v>3</v>
      </c>
      <c r="G100" s="14"/>
    </row>
    <row r="101" customFormat="false" ht="15" hidden="false" customHeight="false" outlineLevel="0" collapsed="false">
      <c r="A101" s="23" t="s">
        <v>49</v>
      </c>
      <c r="B101" s="24" t="s">
        <v>188</v>
      </c>
      <c r="C101" s="24" t="s">
        <v>81</v>
      </c>
      <c r="D101" s="15" t="n">
        <v>5</v>
      </c>
      <c r="E101" s="24" t="str">
        <f aca="false">IF(D101="","No Data",INDEX('Bid Tiers'!$A$4:$A$7,MATCH(D101,'Bid Tiers'!$B$4:$B$7,1)))</f>
        <v>Tier D — Below Threshold (&lt;5)</v>
      </c>
      <c r="F101" s="25" t="n">
        <f aca="false">IF(D101="",0.3,INDEX('Bid Tiers'!$E$4:$E$7,MATCH(D101,'Bid Tiers'!$B$4:$B$7,1)))</f>
        <v>0.6</v>
      </c>
      <c r="G101" s="14"/>
    </row>
    <row r="102" customFormat="false" ht="15" hidden="false" customHeight="false" outlineLevel="0" collapsed="false">
      <c r="A102" s="23" t="s">
        <v>49</v>
      </c>
      <c r="B102" s="24" t="s">
        <v>189</v>
      </c>
      <c r="C102" s="24" t="s">
        <v>81</v>
      </c>
      <c r="D102" s="15" t="n">
        <v>5</v>
      </c>
      <c r="E102" s="24" t="str">
        <f aca="false">IF(D102="","No Data",INDEX('Bid Tiers'!$A$4:$A$7,MATCH(D102,'Bid Tiers'!$B$4:$B$7,1)))</f>
        <v>Tier D — Below Threshold (&lt;5)</v>
      </c>
      <c r="F102" s="25" t="n">
        <f aca="false">IF(D102="",0.3,INDEX('Bid Tiers'!$E$4:$E$7,MATCH(D102,'Bid Tiers'!$B$4:$B$7,1)))</f>
        <v>0.6</v>
      </c>
      <c r="G102" s="14"/>
    </row>
    <row r="103" customFormat="false" ht="15" hidden="false" customHeight="false" outlineLevel="0" collapsed="false">
      <c r="A103" s="23" t="s">
        <v>49</v>
      </c>
      <c r="B103" s="24" t="s">
        <v>190</v>
      </c>
      <c r="C103" s="24" t="s">
        <v>81</v>
      </c>
      <c r="D103" s="15" t="n">
        <v>5</v>
      </c>
      <c r="E103" s="24" t="str">
        <f aca="false">IF(D103="","No Data",INDEX('Bid Tiers'!$A$4:$A$7,MATCH(D103,'Bid Tiers'!$B$4:$B$7,1)))</f>
        <v>Tier D — Below Threshold (&lt;5)</v>
      </c>
      <c r="F103" s="25" t="n">
        <f aca="false">IF(D103="",0.3,INDEX('Bid Tiers'!$E$4:$E$7,MATCH(D103,'Bid Tiers'!$B$4:$B$7,1)))</f>
        <v>0.6</v>
      </c>
      <c r="G103" s="14"/>
    </row>
    <row r="104" customFormat="false" ht="15" hidden="false" customHeight="false" outlineLevel="0" collapsed="false">
      <c r="A104" s="23" t="s">
        <v>49</v>
      </c>
      <c r="B104" s="24" t="s">
        <v>191</v>
      </c>
      <c r="C104" s="24" t="s">
        <v>81</v>
      </c>
      <c r="D104" s="15" t="n">
        <v>5</v>
      </c>
      <c r="E104" s="24" t="str">
        <f aca="false">IF(D104="","No Data",INDEX('Bid Tiers'!$A$4:$A$7,MATCH(D104,'Bid Tiers'!$B$4:$B$7,1)))</f>
        <v>Tier D — Below Threshold (&lt;5)</v>
      </c>
      <c r="F104" s="25" t="n">
        <f aca="false">IF(D104="",0.3,INDEX('Bid Tiers'!$E$4:$E$7,MATCH(D104,'Bid Tiers'!$B$4:$B$7,1)))</f>
        <v>0.6</v>
      </c>
      <c r="G104" s="14"/>
    </row>
    <row r="105" customFormat="false" ht="15" hidden="false" customHeight="false" outlineLevel="0" collapsed="false">
      <c r="A105" s="23" t="s">
        <v>49</v>
      </c>
      <c r="B105" s="24" t="s">
        <v>192</v>
      </c>
      <c r="C105" s="24" t="s">
        <v>81</v>
      </c>
      <c r="D105" s="15" t="n">
        <v>5</v>
      </c>
      <c r="E105" s="24" t="str">
        <f aca="false">IF(D105="","No Data",INDEX('Bid Tiers'!$A$4:$A$7,MATCH(D105,'Bid Tiers'!$B$4:$B$7,1)))</f>
        <v>Tier D — Below Threshold (&lt;5)</v>
      </c>
      <c r="F105" s="25" t="n">
        <f aca="false">IF(D105="",0.3,INDEX('Bid Tiers'!$E$4:$E$7,MATCH(D105,'Bid Tiers'!$B$4:$B$7,1)))</f>
        <v>0.6</v>
      </c>
      <c r="G105" s="14"/>
    </row>
    <row r="106" customFormat="false" ht="15" hidden="false" customHeight="false" outlineLevel="0" collapsed="false">
      <c r="A106" s="23" t="s">
        <v>49</v>
      </c>
      <c r="B106" s="24" t="s">
        <v>193</v>
      </c>
      <c r="C106" s="24" t="s">
        <v>81</v>
      </c>
      <c r="D106" s="15" t="n">
        <v>5</v>
      </c>
      <c r="E106" s="24" t="str">
        <f aca="false">IF(D106="","No Data",INDEX('Bid Tiers'!$A$4:$A$7,MATCH(D106,'Bid Tiers'!$B$4:$B$7,1)))</f>
        <v>Tier D — Below Threshold (&lt;5)</v>
      </c>
      <c r="F106" s="25" t="n">
        <f aca="false">IF(D106="",0.3,INDEX('Bid Tiers'!$E$4:$E$7,MATCH(D106,'Bid Tiers'!$B$4:$B$7,1)))</f>
        <v>0.6</v>
      </c>
      <c r="G106" s="14"/>
    </row>
    <row r="107" customFormat="false" ht="15" hidden="false" customHeight="false" outlineLevel="0" collapsed="false">
      <c r="A107" s="23" t="s">
        <v>52</v>
      </c>
      <c r="B107" s="24" t="s">
        <v>194</v>
      </c>
      <c r="C107" s="24" t="s">
        <v>81</v>
      </c>
      <c r="D107" s="15" t="n">
        <v>38</v>
      </c>
      <c r="E107" s="24" t="str">
        <f aca="false">IF(D107="","No Data",INDEX('Bid Tiers'!$A$4:$A$7,MATCH(D107,'Bid Tiers'!$B$4:$B$7,1)))</f>
        <v>Tier B — Mid Volume</v>
      </c>
      <c r="F107" s="25" t="n">
        <f aca="false">IF(D107="",0.3,INDEX('Bid Tiers'!$E$4:$E$7,MATCH(D107,'Bid Tiers'!$B$4:$B$7,1)))</f>
        <v>1.5</v>
      </c>
      <c r="G107" s="14"/>
    </row>
    <row r="108" customFormat="false" ht="15" hidden="false" customHeight="false" outlineLevel="0" collapsed="false">
      <c r="A108" s="23" t="s">
        <v>52</v>
      </c>
      <c r="B108" s="24" t="s">
        <v>195</v>
      </c>
      <c r="C108" s="24" t="s">
        <v>81</v>
      </c>
      <c r="D108" s="15" t="n">
        <v>49</v>
      </c>
      <c r="E108" s="24" t="str">
        <f aca="false">IF(D108="","No Data",INDEX('Bid Tiers'!$A$4:$A$7,MATCH(D108,'Bid Tiers'!$B$4:$B$7,1)))</f>
        <v>Tier A — Head Term</v>
      </c>
      <c r="F108" s="25" t="n">
        <f aca="false">IF(D108="",0.3,INDEX('Bid Tiers'!$E$4:$E$7,MATCH(D108,'Bid Tiers'!$B$4:$B$7,1)))</f>
        <v>3</v>
      </c>
      <c r="G108" s="14"/>
    </row>
    <row r="109" customFormat="false" ht="15" hidden="false" customHeight="false" outlineLevel="0" collapsed="false">
      <c r="A109" s="23" t="s">
        <v>52</v>
      </c>
      <c r="B109" s="24" t="s">
        <v>196</v>
      </c>
      <c r="C109" s="24" t="s">
        <v>81</v>
      </c>
      <c r="D109" s="15" t="n">
        <v>5</v>
      </c>
      <c r="E109" s="24" t="str">
        <f aca="false">IF(D109="","No Data",INDEX('Bid Tiers'!$A$4:$A$7,MATCH(D109,'Bid Tiers'!$B$4:$B$7,1)))</f>
        <v>Tier D — Below Threshold (&lt;5)</v>
      </c>
      <c r="F109" s="25" t="n">
        <f aca="false">IF(D109="",0.3,INDEX('Bid Tiers'!$E$4:$E$7,MATCH(D109,'Bid Tiers'!$B$4:$B$7,1)))</f>
        <v>0.6</v>
      </c>
      <c r="G109" s="14"/>
    </row>
  </sheetData>
  <autoFilter ref="A3:G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2"/>
    <col collapsed="false" customWidth="true" hidden="false" outlineLevel="0" max="4" min="4" style="0" width="14"/>
    <col collapsed="false" customWidth="true" hidden="false" outlineLevel="0" max="5" min="5" style="0" width="24"/>
    <col collapsed="false" customWidth="true" hidden="false" outlineLevel="0" max="6" min="6" style="0" width="16"/>
    <col collapsed="false" customWidth="true" hidden="false" outlineLevel="0" max="7" min="7" style="0" width="50"/>
  </cols>
  <sheetData>
    <row r="1" customFormat="false" ht="19.7" hidden="false" customHeight="false" outlineLevel="0" collapsed="false">
      <c r="A1" s="1" t="s">
        <v>198</v>
      </c>
    </row>
    <row r="2" customFormat="false" ht="15" hidden="false" customHeight="false" outlineLevel="0" collapsed="false">
      <c r="A2" s="2" t="s">
        <v>75</v>
      </c>
    </row>
    <row r="3" customFormat="false" ht="26.85" hidden="false" customHeight="false" outlineLevel="0" collapsed="false">
      <c r="A3" s="6" t="s">
        <v>19</v>
      </c>
      <c r="B3" s="6" t="s">
        <v>76</v>
      </c>
      <c r="C3" s="6" t="s">
        <v>77</v>
      </c>
      <c r="D3" s="6" t="s">
        <v>78</v>
      </c>
      <c r="E3" s="6" t="s">
        <v>59</v>
      </c>
      <c r="F3" s="6" t="s">
        <v>79</v>
      </c>
      <c r="G3" s="6" t="s">
        <v>22</v>
      </c>
    </row>
    <row r="4" customFormat="false" ht="15" hidden="false" customHeight="false" outlineLevel="0" collapsed="false">
      <c r="A4" s="7" t="s">
        <v>23</v>
      </c>
      <c r="B4" s="19" t="s">
        <v>80</v>
      </c>
      <c r="C4" s="19" t="s">
        <v>81</v>
      </c>
      <c r="D4" s="9" t="s">
        <v>82</v>
      </c>
      <c r="E4" s="19" t="s">
        <v>23</v>
      </c>
      <c r="F4" s="20" t="n">
        <v>0.4</v>
      </c>
      <c r="G4" s="8" t="s">
        <v>83</v>
      </c>
    </row>
    <row r="5" customFormat="false" ht="15" hidden="false" customHeight="false" outlineLevel="0" collapsed="false">
      <c r="A5" s="7" t="s">
        <v>23</v>
      </c>
      <c r="B5" s="19" t="s">
        <v>84</v>
      </c>
      <c r="C5" s="19" t="s">
        <v>81</v>
      </c>
      <c r="D5" s="9" t="s">
        <v>82</v>
      </c>
      <c r="E5" s="19" t="s">
        <v>23</v>
      </c>
      <c r="F5" s="20" t="n">
        <v>0.4</v>
      </c>
      <c r="G5" s="8" t="s">
        <v>85</v>
      </c>
    </row>
    <row r="6" customFormat="false" ht="15" hidden="false" customHeight="false" outlineLevel="0" collapsed="false">
      <c r="A6" s="7" t="s">
        <v>23</v>
      </c>
      <c r="B6" s="19" t="s">
        <v>86</v>
      </c>
      <c r="C6" s="19" t="s">
        <v>81</v>
      </c>
      <c r="D6" s="9" t="s">
        <v>82</v>
      </c>
      <c r="E6" s="19" t="s">
        <v>23</v>
      </c>
      <c r="F6" s="20" t="n">
        <v>0.4</v>
      </c>
      <c r="G6" s="8" t="s">
        <v>87</v>
      </c>
    </row>
    <row r="7" customFormat="false" ht="23.85" hidden="false" customHeight="false" outlineLevel="0" collapsed="false">
      <c r="A7" s="10" t="s">
        <v>27</v>
      </c>
      <c r="B7" s="21" t="s">
        <v>88</v>
      </c>
      <c r="C7" s="21" t="s">
        <v>21</v>
      </c>
      <c r="D7" s="12" t="s">
        <v>82</v>
      </c>
      <c r="E7" s="12" t="s">
        <v>82</v>
      </c>
      <c r="F7" s="22" t="n">
        <v>0.5</v>
      </c>
      <c r="G7" s="11" t="s">
        <v>89</v>
      </c>
    </row>
    <row r="8" customFormat="false" ht="15" hidden="false" customHeight="false" outlineLevel="0" collapsed="false">
      <c r="A8" s="23" t="s">
        <v>31</v>
      </c>
      <c r="B8" s="24" t="s">
        <v>90</v>
      </c>
      <c r="C8" s="24" t="s">
        <v>81</v>
      </c>
      <c r="D8" s="15" t="n">
        <v>20</v>
      </c>
      <c r="E8" s="24" t="str">
        <f aca="false">IF(D8="","No Data",INDEX('Bid Tiers'!$A$4:$A$7,MATCH(D8,'Bid Tiers'!$B$4:$B$7,1)))</f>
        <v>Tier B — Mid Volume</v>
      </c>
      <c r="F8" s="25" t="n">
        <f aca="false">IF(D8="",0.3,INDEX('Bid Tiers'!$E$4:$E$7,MATCH(D8,'Bid Tiers'!$B$4:$B$7,1)))</f>
        <v>1.5</v>
      </c>
      <c r="G8" s="14"/>
    </row>
    <row r="9" customFormat="false" ht="15" hidden="false" customHeight="false" outlineLevel="0" collapsed="false">
      <c r="A9" s="23" t="s">
        <v>31</v>
      </c>
      <c r="B9" s="24" t="s">
        <v>91</v>
      </c>
      <c r="C9" s="24" t="s">
        <v>81</v>
      </c>
      <c r="D9" s="15"/>
      <c r="E9" s="24" t="str">
        <f aca="false">IF(D9="","No Data",INDEX('Bid Tiers'!$A$4:$A$7,MATCH(D9,'Bid Tiers'!$B$4:$B$7,1)))</f>
        <v>No Data</v>
      </c>
      <c r="F9" s="25" t="n">
        <f aca="false">IF(D9="",0.3,INDEX('Bid Tiers'!$E$4:$E$7,MATCH(D9,'Bid Tiers'!$B$4:$B$7,1)))</f>
        <v>0.3</v>
      </c>
      <c r="G9" s="14"/>
    </row>
    <row r="10" customFormat="false" ht="15" hidden="false" customHeight="false" outlineLevel="0" collapsed="false">
      <c r="A10" s="23" t="s">
        <v>31</v>
      </c>
      <c r="B10" s="24" t="s">
        <v>92</v>
      </c>
      <c r="C10" s="24" t="s">
        <v>81</v>
      </c>
      <c r="D10" s="15"/>
      <c r="E10" s="24" t="str">
        <f aca="false">IF(D10="","No Data",INDEX('Bid Tiers'!$A$4:$A$7,MATCH(D10,'Bid Tiers'!$B$4:$B$7,1)))</f>
        <v>No Data</v>
      </c>
      <c r="F10" s="25" t="n">
        <f aca="false">IF(D10="",0.3,INDEX('Bid Tiers'!$E$4:$E$7,MATCH(D10,'Bid Tiers'!$B$4:$B$7,1)))</f>
        <v>0.3</v>
      </c>
      <c r="G10" s="14"/>
    </row>
    <row r="11" customFormat="false" ht="15" hidden="false" customHeight="false" outlineLevel="0" collapsed="false">
      <c r="A11" s="23" t="s">
        <v>31</v>
      </c>
      <c r="B11" s="24" t="s">
        <v>93</v>
      </c>
      <c r="C11" s="24" t="s">
        <v>81</v>
      </c>
      <c r="D11" s="15" t="n">
        <v>5</v>
      </c>
      <c r="E11" s="24" t="str">
        <f aca="false">IF(D11="","No Data",INDEX('Bid Tiers'!$A$4:$A$7,MATCH(D11,'Bid Tiers'!$B$4:$B$7,1)))</f>
        <v>Tier D — Below Threshold (&lt;5)</v>
      </c>
      <c r="F11" s="25" t="n">
        <f aca="false">IF(D11="",0.3,INDEX('Bid Tiers'!$E$4:$E$7,MATCH(D11,'Bid Tiers'!$B$4:$B$7,1)))</f>
        <v>0.6</v>
      </c>
      <c r="G11" s="14"/>
    </row>
    <row r="12" customFormat="false" ht="15" hidden="false" customHeight="false" outlineLevel="0" collapsed="false">
      <c r="A12" s="23" t="s">
        <v>31</v>
      </c>
      <c r="B12" s="24" t="s">
        <v>94</v>
      </c>
      <c r="C12" s="24" t="s">
        <v>81</v>
      </c>
      <c r="D12" s="15" t="n">
        <v>5</v>
      </c>
      <c r="E12" s="24" t="str">
        <f aca="false">IF(D12="","No Data",INDEX('Bid Tiers'!$A$4:$A$7,MATCH(D12,'Bid Tiers'!$B$4:$B$7,1)))</f>
        <v>Tier D — Below Threshold (&lt;5)</v>
      </c>
      <c r="F12" s="25" t="n">
        <f aca="false">IF(D12="",0.3,INDEX('Bid Tiers'!$E$4:$E$7,MATCH(D12,'Bid Tiers'!$B$4:$B$7,1)))</f>
        <v>0.6</v>
      </c>
      <c r="G12" s="14"/>
    </row>
    <row r="13" customFormat="false" ht="15" hidden="false" customHeight="false" outlineLevel="0" collapsed="false">
      <c r="A13" s="23" t="s">
        <v>31</v>
      </c>
      <c r="B13" s="24" t="s">
        <v>95</v>
      </c>
      <c r="C13" s="24" t="s">
        <v>81</v>
      </c>
      <c r="D13" s="15"/>
      <c r="E13" s="24" t="str">
        <f aca="false">IF(D13="","No Data",INDEX('Bid Tiers'!$A$4:$A$7,MATCH(D13,'Bid Tiers'!$B$4:$B$7,1)))</f>
        <v>No Data</v>
      </c>
      <c r="F13" s="25" t="n">
        <f aca="false">IF(D13="",0.3,INDEX('Bid Tiers'!$E$4:$E$7,MATCH(D13,'Bid Tiers'!$B$4:$B$7,1)))</f>
        <v>0.3</v>
      </c>
      <c r="G13" s="14"/>
    </row>
    <row r="14" customFormat="false" ht="15" hidden="false" customHeight="false" outlineLevel="0" collapsed="false">
      <c r="A14" s="23" t="s">
        <v>31</v>
      </c>
      <c r="B14" s="24" t="s">
        <v>96</v>
      </c>
      <c r="C14" s="24" t="s">
        <v>81</v>
      </c>
      <c r="D14" s="15" t="n">
        <v>5</v>
      </c>
      <c r="E14" s="24" t="str">
        <f aca="false">IF(D14="","No Data",INDEX('Bid Tiers'!$A$4:$A$7,MATCH(D14,'Bid Tiers'!$B$4:$B$7,1)))</f>
        <v>Tier D — Below Threshold (&lt;5)</v>
      </c>
      <c r="F14" s="25" t="n">
        <f aca="false">IF(D14="",0.3,INDEX('Bid Tiers'!$E$4:$E$7,MATCH(D14,'Bid Tiers'!$B$4:$B$7,1)))</f>
        <v>0.6</v>
      </c>
      <c r="G14" s="14"/>
    </row>
    <row r="15" customFormat="false" ht="23.85" hidden="false" customHeight="false" outlineLevel="0" collapsed="false">
      <c r="A15" s="23" t="s">
        <v>31</v>
      </c>
      <c r="B15" s="24" t="s">
        <v>97</v>
      </c>
      <c r="C15" s="24" t="s">
        <v>81</v>
      </c>
      <c r="D15" s="15" t="n">
        <v>59</v>
      </c>
      <c r="E15" s="24" t="str">
        <f aca="false">IF(D15="","No Data",INDEX('Bid Tiers'!$A$4:$A$7,MATCH(D15,'Bid Tiers'!$B$4:$B$7,1)))</f>
        <v>Tier A — Head Term</v>
      </c>
      <c r="F15" s="25" t="n">
        <f aca="false">IF(D15="",0.3,INDEX('Bid Tiers'!$E$4:$E$7,MATCH(D15,'Bid Tiers'!$B$4:$B$7,1)))</f>
        <v>3</v>
      </c>
      <c r="G15" s="14" t="s">
        <v>98</v>
      </c>
    </row>
    <row r="16" customFormat="false" ht="15" hidden="false" customHeight="false" outlineLevel="0" collapsed="false">
      <c r="A16" s="23" t="s">
        <v>31</v>
      </c>
      <c r="B16" s="24" t="s">
        <v>99</v>
      </c>
      <c r="C16" s="24" t="s">
        <v>81</v>
      </c>
      <c r="D16" s="15" t="n">
        <v>39</v>
      </c>
      <c r="E16" s="24" t="str">
        <f aca="false">IF(D16="","No Data",INDEX('Bid Tiers'!$A$4:$A$7,MATCH(D16,'Bid Tiers'!$B$4:$B$7,1)))</f>
        <v>Tier B — Mid Volume</v>
      </c>
      <c r="F16" s="25" t="n">
        <f aca="false">IF(D16="",0.3,INDEX('Bid Tiers'!$E$4:$E$7,MATCH(D16,'Bid Tiers'!$B$4:$B$7,1)))</f>
        <v>1.5</v>
      </c>
      <c r="G16" s="14"/>
    </row>
    <row r="17" customFormat="false" ht="15" hidden="false" customHeight="false" outlineLevel="0" collapsed="false">
      <c r="A17" s="23" t="s">
        <v>31</v>
      </c>
      <c r="B17" s="24" t="s">
        <v>100</v>
      </c>
      <c r="C17" s="24" t="s">
        <v>81</v>
      </c>
      <c r="D17" s="15"/>
      <c r="E17" s="24" t="str">
        <f aca="false">IF(D17="","No Data",INDEX('Bid Tiers'!$A$4:$A$7,MATCH(D17,'Bid Tiers'!$B$4:$B$7,1)))</f>
        <v>No Data</v>
      </c>
      <c r="F17" s="25" t="n">
        <f aca="false">IF(D17="",0.3,INDEX('Bid Tiers'!$E$4:$E$7,MATCH(D17,'Bid Tiers'!$B$4:$B$7,1)))</f>
        <v>0.3</v>
      </c>
      <c r="G17" s="14"/>
    </row>
    <row r="18" customFormat="false" ht="15" hidden="false" customHeight="false" outlineLevel="0" collapsed="false">
      <c r="A18" s="23" t="s">
        <v>31</v>
      </c>
      <c r="B18" s="24" t="s">
        <v>101</v>
      </c>
      <c r="C18" s="24" t="s">
        <v>81</v>
      </c>
      <c r="D18" s="15" t="n">
        <v>5</v>
      </c>
      <c r="E18" s="24" t="str">
        <f aca="false">IF(D18="","No Data",INDEX('Bid Tiers'!$A$4:$A$7,MATCH(D18,'Bid Tiers'!$B$4:$B$7,1)))</f>
        <v>Tier D — Below Threshold (&lt;5)</v>
      </c>
      <c r="F18" s="25" t="n">
        <f aca="false">IF(D18="",0.3,INDEX('Bid Tiers'!$E$4:$E$7,MATCH(D18,'Bid Tiers'!$B$4:$B$7,1)))</f>
        <v>0.6</v>
      </c>
      <c r="G18" s="14"/>
    </row>
    <row r="19" customFormat="false" ht="15" hidden="false" customHeight="false" outlineLevel="0" collapsed="false">
      <c r="A19" s="23" t="s">
        <v>34</v>
      </c>
      <c r="B19" s="24" t="s">
        <v>102</v>
      </c>
      <c r="C19" s="24" t="s">
        <v>81</v>
      </c>
      <c r="D19" s="15" t="n">
        <v>56</v>
      </c>
      <c r="E19" s="24" t="str">
        <f aca="false">IF(D19="","No Data",INDEX('Bid Tiers'!$A$4:$A$7,MATCH(D19,'Bid Tiers'!$B$4:$B$7,1)))</f>
        <v>Tier A — Head Term</v>
      </c>
      <c r="F19" s="25" t="n">
        <f aca="false">IF(D19="",0.3,INDEX('Bid Tiers'!$E$4:$E$7,MATCH(D19,'Bid Tiers'!$B$4:$B$7,1)))</f>
        <v>3</v>
      </c>
      <c r="G19" s="14"/>
    </row>
    <row r="20" customFormat="false" ht="15" hidden="false" customHeight="false" outlineLevel="0" collapsed="false">
      <c r="A20" s="23" t="s">
        <v>34</v>
      </c>
      <c r="B20" s="24" t="s">
        <v>103</v>
      </c>
      <c r="C20" s="24" t="s">
        <v>81</v>
      </c>
      <c r="D20" s="15" t="n">
        <v>5</v>
      </c>
      <c r="E20" s="24" t="str">
        <f aca="false">IF(D20="","No Data",INDEX('Bid Tiers'!$A$4:$A$7,MATCH(D20,'Bid Tiers'!$B$4:$B$7,1)))</f>
        <v>Tier D — Below Threshold (&lt;5)</v>
      </c>
      <c r="F20" s="25" t="n">
        <f aca="false">IF(D20="",0.3,INDEX('Bid Tiers'!$E$4:$E$7,MATCH(D20,'Bid Tiers'!$B$4:$B$7,1)))</f>
        <v>0.6</v>
      </c>
      <c r="G20" s="14"/>
    </row>
    <row r="21" customFormat="false" ht="15" hidden="false" customHeight="false" outlineLevel="0" collapsed="false">
      <c r="A21" s="23" t="s">
        <v>34</v>
      </c>
      <c r="B21" s="24" t="s">
        <v>104</v>
      </c>
      <c r="C21" s="24" t="s">
        <v>81</v>
      </c>
      <c r="D21" s="15" t="n">
        <v>5</v>
      </c>
      <c r="E21" s="24" t="str">
        <f aca="false">IF(D21="","No Data",INDEX('Bid Tiers'!$A$4:$A$7,MATCH(D21,'Bid Tiers'!$B$4:$B$7,1)))</f>
        <v>Tier D — Below Threshold (&lt;5)</v>
      </c>
      <c r="F21" s="25" t="n">
        <f aca="false">IF(D21="",0.3,INDEX('Bid Tiers'!$E$4:$E$7,MATCH(D21,'Bid Tiers'!$B$4:$B$7,1)))</f>
        <v>0.6</v>
      </c>
      <c r="G21" s="14"/>
    </row>
    <row r="22" customFormat="false" ht="15" hidden="false" customHeight="false" outlineLevel="0" collapsed="false">
      <c r="A22" s="23" t="s">
        <v>34</v>
      </c>
      <c r="B22" s="24" t="s">
        <v>105</v>
      </c>
      <c r="C22" s="24" t="s">
        <v>81</v>
      </c>
      <c r="D22" s="15" t="n">
        <v>5</v>
      </c>
      <c r="E22" s="24" t="str">
        <f aca="false">IF(D22="","No Data",INDEX('Bid Tiers'!$A$4:$A$7,MATCH(D22,'Bid Tiers'!$B$4:$B$7,1)))</f>
        <v>Tier D — Below Threshold (&lt;5)</v>
      </c>
      <c r="F22" s="25" t="n">
        <f aca="false">IF(D22="",0.3,INDEX('Bid Tiers'!$E$4:$E$7,MATCH(D22,'Bid Tiers'!$B$4:$B$7,1)))</f>
        <v>0.6</v>
      </c>
      <c r="G22" s="14"/>
    </row>
    <row r="23" customFormat="false" ht="15" hidden="false" customHeight="false" outlineLevel="0" collapsed="false">
      <c r="A23" s="23" t="s">
        <v>34</v>
      </c>
      <c r="B23" s="24" t="s">
        <v>106</v>
      </c>
      <c r="C23" s="24" t="s">
        <v>81</v>
      </c>
      <c r="D23" s="15" t="n">
        <v>5</v>
      </c>
      <c r="E23" s="24" t="str">
        <f aca="false">IF(D23="","No Data",INDEX('Bid Tiers'!$A$4:$A$7,MATCH(D23,'Bid Tiers'!$B$4:$B$7,1)))</f>
        <v>Tier D — Below Threshold (&lt;5)</v>
      </c>
      <c r="F23" s="25" t="n">
        <f aca="false">IF(D23="",0.3,INDEX('Bid Tiers'!$E$4:$E$7,MATCH(D23,'Bid Tiers'!$B$4:$B$7,1)))</f>
        <v>0.6</v>
      </c>
      <c r="G23" s="14"/>
    </row>
    <row r="24" customFormat="false" ht="15" hidden="false" customHeight="false" outlineLevel="0" collapsed="false">
      <c r="A24" s="23" t="s">
        <v>34</v>
      </c>
      <c r="B24" s="24" t="s">
        <v>107</v>
      </c>
      <c r="C24" s="24" t="s">
        <v>81</v>
      </c>
      <c r="D24" s="15" t="n">
        <v>38</v>
      </c>
      <c r="E24" s="24" t="str">
        <f aca="false">IF(D24="","No Data",INDEX('Bid Tiers'!$A$4:$A$7,MATCH(D24,'Bid Tiers'!$B$4:$B$7,1)))</f>
        <v>Tier B — Mid Volume</v>
      </c>
      <c r="F24" s="25" t="n">
        <f aca="false">IF(D24="",0.3,INDEX('Bid Tiers'!$E$4:$E$7,MATCH(D24,'Bid Tiers'!$B$4:$B$7,1)))</f>
        <v>1.5</v>
      </c>
      <c r="G24" s="14"/>
    </row>
    <row r="25" customFormat="false" ht="15" hidden="false" customHeight="false" outlineLevel="0" collapsed="false">
      <c r="A25" s="23" t="s">
        <v>34</v>
      </c>
      <c r="B25" s="24" t="s">
        <v>108</v>
      </c>
      <c r="C25" s="24" t="s">
        <v>81</v>
      </c>
      <c r="D25" s="15" t="n">
        <v>5</v>
      </c>
      <c r="E25" s="24" t="str">
        <f aca="false">IF(D25="","No Data",INDEX('Bid Tiers'!$A$4:$A$7,MATCH(D25,'Bid Tiers'!$B$4:$B$7,1)))</f>
        <v>Tier D — Below Threshold (&lt;5)</v>
      </c>
      <c r="F25" s="25" t="n">
        <f aca="false">IF(D25="",0.3,INDEX('Bid Tiers'!$E$4:$E$7,MATCH(D25,'Bid Tiers'!$B$4:$B$7,1)))</f>
        <v>0.6</v>
      </c>
      <c r="G25" s="14"/>
    </row>
    <row r="26" customFormat="false" ht="15" hidden="false" customHeight="false" outlineLevel="0" collapsed="false">
      <c r="A26" s="23" t="s">
        <v>34</v>
      </c>
      <c r="B26" s="24" t="s">
        <v>109</v>
      </c>
      <c r="C26" s="24" t="s">
        <v>81</v>
      </c>
      <c r="D26" s="15" t="n">
        <v>5</v>
      </c>
      <c r="E26" s="24" t="str">
        <f aca="false">IF(D26="","No Data",INDEX('Bid Tiers'!$A$4:$A$7,MATCH(D26,'Bid Tiers'!$B$4:$B$7,1)))</f>
        <v>Tier D — Below Threshold (&lt;5)</v>
      </c>
      <c r="F26" s="25" t="n">
        <f aca="false">IF(D26="",0.3,INDEX('Bid Tiers'!$E$4:$E$7,MATCH(D26,'Bid Tiers'!$B$4:$B$7,1)))</f>
        <v>0.6</v>
      </c>
      <c r="G26" s="14"/>
    </row>
    <row r="27" customFormat="false" ht="15" hidden="false" customHeight="false" outlineLevel="0" collapsed="false">
      <c r="A27" s="23" t="s">
        <v>34</v>
      </c>
      <c r="B27" s="24" t="s">
        <v>110</v>
      </c>
      <c r="C27" s="24" t="s">
        <v>81</v>
      </c>
      <c r="D27" s="15" t="n">
        <v>46</v>
      </c>
      <c r="E27" s="24" t="str">
        <f aca="false">IF(D27="","No Data",INDEX('Bid Tiers'!$A$4:$A$7,MATCH(D27,'Bid Tiers'!$B$4:$B$7,1)))</f>
        <v>Tier A — Head Term</v>
      </c>
      <c r="F27" s="25" t="n">
        <f aca="false">IF(D27="",0.3,INDEX('Bid Tiers'!$E$4:$E$7,MATCH(D27,'Bid Tiers'!$B$4:$B$7,1)))</f>
        <v>3</v>
      </c>
      <c r="G27" s="14"/>
    </row>
    <row r="28" customFormat="false" ht="15" hidden="false" customHeight="false" outlineLevel="0" collapsed="false">
      <c r="A28" s="23" t="s">
        <v>34</v>
      </c>
      <c r="B28" s="24" t="s">
        <v>111</v>
      </c>
      <c r="C28" s="24" t="s">
        <v>81</v>
      </c>
      <c r="D28" s="15" t="n">
        <v>5</v>
      </c>
      <c r="E28" s="24" t="str">
        <f aca="false">IF(D28="","No Data",INDEX('Bid Tiers'!$A$4:$A$7,MATCH(D28,'Bid Tiers'!$B$4:$B$7,1)))</f>
        <v>Tier D — Below Threshold (&lt;5)</v>
      </c>
      <c r="F28" s="25" t="n">
        <f aca="false">IF(D28="",0.3,INDEX('Bid Tiers'!$E$4:$E$7,MATCH(D28,'Bid Tiers'!$B$4:$B$7,1)))</f>
        <v>0.6</v>
      </c>
      <c r="G28" s="14"/>
    </row>
    <row r="29" customFormat="false" ht="15" hidden="false" customHeight="false" outlineLevel="0" collapsed="false">
      <c r="A29" s="23" t="s">
        <v>34</v>
      </c>
      <c r="B29" s="24" t="s">
        <v>112</v>
      </c>
      <c r="C29" s="24" t="s">
        <v>81</v>
      </c>
      <c r="D29" s="15" t="n">
        <v>5</v>
      </c>
      <c r="E29" s="24" t="str">
        <f aca="false">IF(D29="","No Data",INDEX('Bid Tiers'!$A$4:$A$7,MATCH(D29,'Bid Tiers'!$B$4:$B$7,1)))</f>
        <v>Tier D — Below Threshold (&lt;5)</v>
      </c>
      <c r="F29" s="25" t="n">
        <f aca="false">IF(D29="",0.3,INDEX('Bid Tiers'!$E$4:$E$7,MATCH(D29,'Bid Tiers'!$B$4:$B$7,1)))</f>
        <v>0.6</v>
      </c>
      <c r="G29" s="14"/>
    </row>
    <row r="30" customFormat="false" ht="35.05" hidden="false" customHeight="false" outlineLevel="0" collapsed="false">
      <c r="A30" s="23" t="s">
        <v>34</v>
      </c>
      <c r="B30" s="24" t="s">
        <v>113</v>
      </c>
      <c r="C30" s="24" t="s">
        <v>81</v>
      </c>
      <c r="D30" s="15"/>
      <c r="E30" s="24" t="str">
        <f aca="false">IF(D30="","No Data",INDEX('Bid Tiers'!$A$4:$A$7,MATCH(D30,'Bid Tiers'!$B$4:$B$7,1)))</f>
        <v>No Data</v>
      </c>
      <c r="F30" s="25" t="n">
        <f aca="false">IF(D30="",0.3,INDEX('Bid Tiers'!$E$4:$E$7,MATCH(D30,'Bid Tiers'!$B$4:$B$7,1)))</f>
        <v>0.3</v>
      </c>
      <c r="G30" s="14" t="s">
        <v>114</v>
      </c>
    </row>
    <row r="31" customFormat="false" ht="15" hidden="false" customHeight="false" outlineLevel="0" collapsed="false">
      <c r="A31" s="23" t="s">
        <v>34</v>
      </c>
      <c r="B31" s="24" t="s">
        <v>115</v>
      </c>
      <c r="C31" s="24" t="s">
        <v>81</v>
      </c>
      <c r="D31" s="15"/>
      <c r="E31" s="24" t="str">
        <f aca="false">IF(D31="","No Data",INDEX('Bid Tiers'!$A$4:$A$7,MATCH(D31,'Bid Tiers'!$B$4:$B$7,1)))</f>
        <v>No Data</v>
      </c>
      <c r="F31" s="25" t="n">
        <f aca="false">IF(D31="",0.3,INDEX('Bid Tiers'!$E$4:$E$7,MATCH(D31,'Bid Tiers'!$B$4:$B$7,1)))</f>
        <v>0.3</v>
      </c>
      <c r="G31" s="14"/>
    </row>
    <row r="32" customFormat="false" ht="15" hidden="false" customHeight="false" outlineLevel="0" collapsed="false">
      <c r="A32" s="23" t="s">
        <v>34</v>
      </c>
      <c r="B32" s="24" t="s">
        <v>116</v>
      </c>
      <c r="C32" s="24" t="s">
        <v>81</v>
      </c>
      <c r="D32" s="15" t="n">
        <v>57</v>
      </c>
      <c r="E32" s="24" t="str">
        <f aca="false">IF(D32="","No Data",INDEX('Bid Tiers'!$A$4:$A$7,MATCH(D32,'Bid Tiers'!$B$4:$B$7,1)))</f>
        <v>Tier A — Head Term</v>
      </c>
      <c r="F32" s="25" t="n">
        <f aca="false">IF(D32="",0.3,INDEX('Bid Tiers'!$E$4:$E$7,MATCH(D32,'Bid Tiers'!$B$4:$B$7,1)))</f>
        <v>3</v>
      </c>
      <c r="G32" s="14"/>
    </row>
    <row r="33" customFormat="false" ht="15" hidden="false" customHeight="false" outlineLevel="0" collapsed="false">
      <c r="A33" s="23" t="s">
        <v>34</v>
      </c>
      <c r="B33" s="24" t="s">
        <v>117</v>
      </c>
      <c r="C33" s="24" t="s">
        <v>81</v>
      </c>
      <c r="D33" s="15" t="n">
        <v>5</v>
      </c>
      <c r="E33" s="24" t="str">
        <f aca="false">IF(D33="","No Data",INDEX('Bid Tiers'!$A$4:$A$7,MATCH(D33,'Bid Tiers'!$B$4:$B$7,1)))</f>
        <v>Tier D — Below Threshold (&lt;5)</v>
      </c>
      <c r="F33" s="25" t="n">
        <f aca="false">IF(D33="",0.3,INDEX('Bid Tiers'!$E$4:$E$7,MATCH(D33,'Bid Tiers'!$B$4:$B$7,1)))</f>
        <v>0.6</v>
      </c>
      <c r="G33" s="14"/>
    </row>
    <row r="34" customFormat="false" ht="15" hidden="false" customHeight="false" outlineLevel="0" collapsed="false">
      <c r="A34" s="23" t="s">
        <v>34</v>
      </c>
      <c r="B34" s="24" t="s">
        <v>118</v>
      </c>
      <c r="C34" s="24" t="s">
        <v>81</v>
      </c>
      <c r="D34" s="15" t="n">
        <v>5</v>
      </c>
      <c r="E34" s="24" t="str">
        <f aca="false">IF(D34="","No Data",INDEX('Bid Tiers'!$A$4:$A$7,MATCH(D34,'Bid Tiers'!$B$4:$B$7,1)))</f>
        <v>Tier D — Below Threshold (&lt;5)</v>
      </c>
      <c r="F34" s="25" t="n">
        <f aca="false">IF(D34="",0.3,INDEX('Bid Tiers'!$E$4:$E$7,MATCH(D34,'Bid Tiers'!$B$4:$B$7,1)))</f>
        <v>0.6</v>
      </c>
      <c r="G34" s="14"/>
    </row>
    <row r="35" customFormat="false" ht="15" hidden="false" customHeight="false" outlineLevel="0" collapsed="false">
      <c r="A35" s="23" t="s">
        <v>34</v>
      </c>
      <c r="B35" s="24" t="s">
        <v>119</v>
      </c>
      <c r="C35" s="24" t="s">
        <v>81</v>
      </c>
      <c r="D35" s="15" t="n">
        <v>35</v>
      </c>
      <c r="E35" s="24" t="str">
        <f aca="false">IF(D35="","No Data",INDEX('Bid Tiers'!$A$4:$A$7,MATCH(D35,'Bid Tiers'!$B$4:$B$7,1)))</f>
        <v>Tier B — Mid Volume</v>
      </c>
      <c r="F35" s="25" t="n">
        <f aca="false">IF(D35="",0.3,INDEX('Bid Tiers'!$E$4:$E$7,MATCH(D35,'Bid Tiers'!$B$4:$B$7,1)))</f>
        <v>1.5</v>
      </c>
      <c r="G35" s="14"/>
    </row>
    <row r="36" customFormat="false" ht="15" hidden="false" customHeight="false" outlineLevel="0" collapsed="false">
      <c r="A36" s="23" t="s">
        <v>34</v>
      </c>
      <c r="B36" s="24" t="s">
        <v>120</v>
      </c>
      <c r="C36" s="24" t="s">
        <v>81</v>
      </c>
      <c r="D36" s="15" t="n">
        <v>15</v>
      </c>
      <c r="E36" s="24" t="str">
        <f aca="false">IF(D36="","No Data",INDEX('Bid Tiers'!$A$4:$A$7,MATCH(D36,'Bid Tiers'!$B$4:$B$7,1)))</f>
        <v>Tier C — Long-Tail</v>
      </c>
      <c r="F36" s="25" t="n">
        <f aca="false">IF(D36="",0.3,INDEX('Bid Tiers'!$E$4:$E$7,MATCH(D36,'Bid Tiers'!$B$4:$B$7,1)))</f>
        <v>0.9</v>
      </c>
      <c r="G36" s="14"/>
    </row>
    <row r="37" customFormat="false" ht="15" hidden="false" customHeight="false" outlineLevel="0" collapsed="false">
      <c r="A37" s="23" t="s">
        <v>34</v>
      </c>
      <c r="B37" s="24" t="s">
        <v>121</v>
      </c>
      <c r="C37" s="24" t="s">
        <v>81</v>
      </c>
      <c r="D37" s="15" t="n">
        <v>5</v>
      </c>
      <c r="E37" s="24" t="str">
        <f aca="false">IF(D37="","No Data",INDEX('Bid Tiers'!$A$4:$A$7,MATCH(D37,'Bid Tiers'!$B$4:$B$7,1)))</f>
        <v>Tier D — Below Threshold (&lt;5)</v>
      </c>
      <c r="F37" s="25" t="n">
        <f aca="false">IF(D37="",0.3,INDEX('Bid Tiers'!$E$4:$E$7,MATCH(D37,'Bid Tiers'!$B$4:$B$7,1)))</f>
        <v>0.6</v>
      </c>
      <c r="G37" s="14"/>
    </row>
    <row r="38" customFormat="false" ht="15" hidden="false" customHeight="false" outlineLevel="0" collapsed="false">
      <c r="A38" s="23" t="s">
        <v>34</v>
      </c>
      <c r="B38" s="24" t="s">
        <v>122</v>
      </c>
      <c r="C38" s="24" t="s">
        <v>81</v>
      </c>
      <c r="D38" s="15" t="n">
        <v>5</v>
      </c>
      <c r="E38" s="24" t="str">
        <f aca="false">IF(D38="","No Data",INDEX('Bid Tiers'!$A$4:$A$7,MATCH(D38,'Bid Tiers'!$B$4:$B$7,1)))</f>
        <v>Tier D — Below Threshold (&lt;5)</v>
      </c>
      <c r="F38" s="25" t="n">
        <f aca="false">IF(D38="",0.3,INDEX('Bid Tiers'!$E$4:$E$7,MATCH(D38,'Bid Tiers'!$B$4:$B$7,1)))</f>
        <v>0.6</v>
      </c>
      <c r="G38" s="14"/>
    </row>
    <row r="39" customFormat="false" ht="15" hidden="false" customHeight="false" outlineLevel="0" collapsed="false">
      <c r="A39" s="23" t="s">
        <v>34</v>
      </c>
      <c r="B39" s="24" t="s">
        <v>123</v>
      </c>
      <c r="C39" s="24" t="s">
        <v>81</v>
      </c>
      <c r="D39" s="15" t="n">
        <v>5</v>
      </c>
      <c r="E39" s="24" t="str">
        <f aca="false">IF(D39="","No Data",INDEX('Bid Tiers'!$A$4:$A$7,MATCH(D39,'Bid Tiers'!$B$4:$B$7,1)))</f>
        <v>Tier D — Below Threshold (&lt;5)</v>
      </c>
      <c r="F39" s="25" t="n">
        <f aca="false">IF(D39="",0.3,INDEX('Bid Tiers'!$E$4:$E$7,MATCH(D39,'Bid Tiers'!$B$4:$B$7,1)))</f>
        <v>0.6</v>
      </c>
      <c r="G39" s="14"/>
    </row>
    <row r="40" customFormat="false" ht="15" hidden="false" customHeight="false" outlineLevel="0" collapsed="false">
      <c r="A40" s="23" t="s">
        <v>34</v>
      </c>
      <c r="B40" s="24" t="s">
        <v>124</v>
      </c>
      <c r="C40" s="24" t="s">
        <v>81</v>
      </c>
      <c r="D40" s="15" t="n">
        <v>5</v>
      </c>
      <c r="E40" s="24" t="str">
        <f aca="false">IF(D40="","No Data",INDEX('Bid Tiers'!$A$4:$A$7,MATCH(D40,'Bid Tiers'!$B$4:$B$7,1)))</f>
        <v>Tier D — Below Threshold (&lt;5)</v>
      </c>
      <c r="F40" s="25" t="n">
        <f aca="false">IF(D40="",0.3,INDEX('Bid Tiers'!$E$4:$E$7,MATCH(D40,'Bid Tiers'!$B$4:$B$7,1)))</f>
        <v>0.6</v>
      </c>
      <c r="G40" s="14"/>
    </row>
    <row r="41" customFormat="false" ht="15" hidden="false" customHeight="false" outlineLevel="0" collapsed="false">
      <c r="A41" s="23" t="s">
        <v>34</v>
      </c>
      <c r="B41" s="24" t="s">
        <v>125</v>
      </c>
      <c r="C41" s="24" t="s">
        <v>81</v>
      </c>
      <c r="D41" s="15" t="n">
        <v>5</v>
      </c>
      <c r="E41" s="24" t="str">
        <f aca="false">IF(D41="","No Data",INDEX('Bid Tiers'!$A$4:$A$7,MATCH(D41,'Bid Tiers'!$B$4:$B$7,1)))</f>
        <v>Tier D — Below Threshold (&lt;5)</v>
      </c>
      <c r="F41" s="25" t="n">
        <f aca="false">IF(D41="",0.3,INDEX('Bid Tiers'!$E$4:$E$7,MATCH(D41,'Bid Tiers'!$B$4:$B$7,1)))</f>
        <v>0.6</v>
      </c>
      <c r="G41" s="14"/>
    </row>
    <row r="42" customFormat="false" ht="15" hidden="false" customHeight="false" outlineLevel="0" collapsed="false">
      <c r="A42" s="23" t="s">
        <v>34</v>
      </c>
      <c r="B42" s="24" t="s">
        <v>126</v>
      </c>
      <c r="C42" s="24" t="s">
        <v>81</v>
      </c>
      <c r="D42" s="15" t="n">
        <v>48</v>
      </c>
      <c r="E42" s="24" t="str">
        <f aca="false">IF(D42="","No Data",INDEX('Bid Tiers'!$A$4:$A$7,MATCH(D42,'Bid Tiers'!$B$4:$B$7,1)))</f>
        <v>Tier A — Head Term</v>
      </c>
      <c r="F42" s="25" t="n">
        <f aca="false">IF(D42="",0.3,INDEX('Bid Tiers'!$E$4:$E$7,MATCH(D42,'Bid Tiers'!$B$4:$B$7,1)))</f>
        <v>3</v>
      </c>
      <c r="G42" s="14"/>
    </row>
    <row r="43" customFormat="false" ht="15" hidden="false" customHeight="false" outlineLevel="0" collapsed="false">
      <c r="A43" s="23" t="s">
        <v>34</v>
      </c>
      <c r="B43" s="24" t="s">
        <v>127</v>
      </c>
      <c r="C43" s="24" t="s">
        <v>81</v>
      </c>
      <c r="D43" s="15" t="n">
        <v>5</v>
      </c>
      <c r="E43" s="24" t="str">
        <f aca="false">IF(D43="","No Data",INDEX('Bid Tiers'!$A$4:$A$7,MATCH(D43,'Bid Tiers'!$B$4:$B$7,1)))</f>
        <v>Tier D — Below Threshold (&lt;5)</v>
      </c>
      <c r="F43" s="25" t="n">
        <f aca="false">IF(D43="",0.3,INDEX('Bid Tiers'!$E$4:$E$7,MATCH(D43,'Bid Tiers'!$B$4:$B$7,1)))</f>
        <v>0.6</v>
      </c>
      <c r="G43" s="14"/>
    </row>
    <row r="44" customFormat="false" ht="15" hidden="false" customHeight="false" outlineLevel="0" collapsed="false">
      <c r="A44" s="23" t="s">
        <v>34</v>
      </c>
      <c r="B44" s="24" t="s">
        <v>128</v>
      </c>
      <c r="C44" s="24" t="s">
        <v>81</v>
      </c>
      <c r="D44" s="15" t="n">
        <v>5</v>
      </c>
      <c r="E44" s="24" t="str">
        <f aca="false">IF(D44="","No Data",INDEX('Bid Tiers'!$A$4:$A$7,MATCH(D44,'Bid Tiers'!$B$4:$B$7,1)))</f>
        <v>Tier D — Below Threshold (&lt;5)</v>
      </c>
      <c r="F44" s="25" t="n">
        <f aca="false">IF(D44="",0.3,INDEX('Bid Tiers'!$E$4:$E$7,MATCH(D44,'Bid Tiers'!$B$4:$B$7,1)))</f>
        <v>0.6</v>
      </c>
      <c r="G44" s="14"/>
    </row>
    <row r="45" customFormat="false" ht="15" hidden="false" customHeight="false" outlineLevel="0" collapsed="false">
      <c r="A45" s="23" t="s">
        <v>34</v>
      </c>
      <c r="B45" s="24" t="s">
        <v>129</v>
      </c>
      <c r="C45" s="24" t="s">
        <v>81</v>
      </c>
      <c r="D45" s="15" t="n">
        <v>42</v>
      </c>
      <c r="E45" s="24" t="str">
        <f aca="false">IF(D45="","No Data",INDEX('Bid Tiers'!$A$4:$A$7,MATCH(D45,'Bid Tiers'!$B$4:$B$7,1)))</f>
        <v>Tier B — Mid Volume</v>
      </c>
      <c r="F45" s="25" t="n">
        <f aca="false">IF(D45="",0.3,INDEX('Bid Tiers'!$E$4:$E$7,MATCH(D45,'Bid Tiers'!$B$4:$B$7,1)))</f>
        <v>1.5</v>
      </c>
      <c r="G45" s="14"/>
    </row>
    <row r="46" customFormat="false" ht="15" hidden="false" customHeight="false" outlineLevel="0" collapsed="false">
      <c r="A46" s="23" t="s">
        <v>37</v>
      </c>
      <c r="B46" s="24" t="s">
        <v>130</v>
      </c>
      <c r="C46" s="24" t="s">
        <v>81</v>
      </c>
      <c r="D46" s="15" t="n">
        <v>55</v>
      </c>
      <c r="E46" s="24" t="str">
        <f aca="false">IF(D46="","No Data",INDEX('Bid Tiers'!$A$4:$A$7,MATCH(D46,'Bid Tiers'!$B$4:$B$7,1)))</f>
        <v>Tier A — Head Term</v>
      </c>
      <c r="F46" s="25" t="n">
        <f aca="false">IF(D46="",0.3,INDEX('Bid Tiers'!$E$4:$E$7,MATCH(D46,'Bid Tiers'!$B$4:$B$7,1)))</f>
        <v>3</v>
      </c>
      <c r="G46" s="14"/>
    </row>
    <row r="47" customFormat="false" ht="15" hidden="false" customHeight="false" outlineLevel="0" collapsed="false">
      <c r="A47" s="23" t="s">
        <v>37</v>
      </c>
      <c r="B47" s="24" t="s">
        <v>131</v>
      </c>
      <c r="C47" s="24" t="s">
        <v>81</v>
      </c>
      <c r="D47" s="15" t="n">
        <v>52</v>
      </c>
      <c r="E47" s="24" t="str">
        <f aca="false">IF(D47="","No Data",INDEX('Bid Tiers'!$A$4:$A$7,MATCH(D47,'Bid Tiers'!$B$4:$B$7,1)))</f>
        <v>Tier A — Head Term</v>
      </c>
      <c r="F47" s="25" t="n">
        <f aca="false">IF(D47="",0.3,INDEX('Bid Tiers'!$E$4:$E$7,MATCH(D47,'Bid Tiers'!$B$4:$B$7,1)))</f>
        <v>3</v>
      </c>
      <c r="G47" s="14"/>
    </row>
    <row r="48" customFormat="false" ht="15" hidden="false" customHeight="false" outlineLevel="0" collapsed="false">
      <c r="A48" s="23" t="s">
        <v>37</v>
      </c>
      <c r="B48" s="24" t="s">
        <v>132</v>
      </c>
      <c r="C48" s="24" t="s">
        <v>81</v>
      </c>
      <c r="D48" s="15" t="n">
        <v>42</v>
      </c>
      <c r="E48" s="24" t="str">
        <f aca="false">IF(D48="","No Data",INDEX('Bid Tiers'!$A$4:$A$7,MATCH(D48,'Bid Tiers'!$B$4:$B$7,1)))</f>
        <v>Tier B — Mid Volume</v>
      </c>
      <c r="F48" s="25" t="n">
        <f aca="false">IF(D48="",0.3,INDEX('Bid Tiers'!$E$4:$E$7,MATCH(D48,'Bid Tiers'!$B$4:$B$7,1)))</f>
        <v>1.5</v>
      </c>
      <c r="G48" s="14"/>
    </row>
    <row r="49" customFormat="false" ht="15" hidden="false" customHeight="false" outlineLevel="0" collapsed="false">
      <c r="A49" s="23" t="s">
        <v>37</v>
      </c>
      <c r="B49" s="24" t="s">
        <v>133</v>
      </c>
      <c r="C49" s="24" t="s">
        <v>81</v>
      </c>
      <c r="D49" s="15" t="n">
        <v>5</v>
      </c>
      <c r="E49" s="24" t="str">
        <f aca="false">IF(D49="","No Data",INDEX('Bid Tiers'!$A$4:$A$7,MATCH(D49,'Bid Tiers'!$B$4:$B$7,1)))</f>
        <v>Tier D — Below Threshold (&lt;5)</v>
      </c>
      <c r="F49" s="25" t="n">
        <f aca="false">IF(D49="",0.3,INDEX('Bid Tiers'!$E$4:$E$7,MATCH(D49,'Bid Tiers'!$B$4:$B$7,1)))</f>
        <v>0.6</v>
      </c>
      <c r="G49" s="14"/>
    </row>
    <row r="50" customFormat="false" ht="15" hidden="false" customHeight="false" outlineLevel="0" collapsed="false">
      <c r="A50" s="23" t="s">
        <v>37</v>
      </c>
      <c r="B50" s="24" t="s">
        <v>134</v>
      </c>
      <c r="C50" s="24" t="s">
        <v>81</v>
      </c>
      <c r="D50" s="15" t="n">
        <v>5</v>
      </c>
      <c r="E50" s="24" t="str">
        <f aca="false">IF(D50="","No Data",INDEX('Bid Tiers'!$A$4:$A$7,MATCH(D50,'Bid Tiers'!$B$4:$B$7,1)))</f>
        <v>Tier D — Below Threshold (&lt;5)</v>
      </c>
      <c r="F50" s="25" t="n">
        <f aca="false">IF(D50="",0.3,INDEX('Bid Tiers'!$E$4:$E$7,MATCH(D50,'Bid Tiers'!$B$4:$B$7,1)))</f>
        <v>0.6</v>
      </c>
      <c r="G50" s="14"/>
    </row>
    <row r="51" customFormat="false" ht="15" hidden="false" customHeight="false" outlineLevel="0" collapsed="false">
      <c r="A51" s="23" t="s">
        <v>37</v>
      </c>
      <c r="B51" s="24" t="s">
        <v>135</v>
      </c>
      <c r="C51" s="24" t="s">
        <v>81</v>
      </c>
      <c r="D51" s="15" t="n">
        <v>5</v>
      </c>
      <c r="E51" s="24" t="str">
        <f aca="false">IF(D51="","No Data",INDEX('Bid Tiers'!$A$4:$A$7,MATCH(D51,'Bid Tiers'!$B$4:$B$7,1)))</f>
        <v>Tier D — Below Threshold (&lt;5)</v>
      </c>
      <c r="F51" s="25" t="n">
        <f aca="false">IF(D51="",0.3,INDEX('Bid Tiers'!$E$4:$E$7,MATCH(D51,'Bid Tiers'!$B$4:$B$7,1)))</f>
        <v>0.6</v>
      </c>
      <c r="G51" s="14"/>
    </row>
    <row r="52" customFormat="false" ht="15" hidden="false" customHeight="false" outlineLevel="0" collapsed="false">
      <c r="A52" s="23" t="s">
        <v>37</v>
      </c>
      <c r="B52" s="24" t="s">
        <v>136</v>
      </c>
      <c r="C52" s="24" t="s">
        <v>81</v>
      </c>
      <c r="D52" s="15" t="n">
        <v>51</v>
      </c>
      <c r="E52" s="24" t="str">
        <f aca="false">IF(D52="","No Data",INDEX('Bid Tiers'!$A$4:$A$7,MATCH(D52,'Bid Tiers'!$B$4:$B$7,1)))</f>
        <v>Tier A — Head Term</v>
      </c>
      <c r="F52" s="25" t="n">
        <f aca="false">IF(D52="",0.3,INDEX('Bid Tiers'!$E$4:$E$7,MATCH(D52,'Bid Tiers'!$B$4:$B$7,1)))</f>
        <v>3</v>
      </c>
      <c r="G52" s="14"/>
    </row>
    <row r="53" customFormat="false" ht="15" hidden="false" customHeight="false" outlineLevel="0" collapsed="false">
      <c r="A53" s="23" t="s">
        <v>37</v>
      </c>
      <c r="B53" s="24" t="s">
        <v>137</v>
      </c>
      <c r="C53" s="24" t="s">
        <v>81</v>
      </c>
      <c r="D53" s="15" t="n">
        <v>5</v>
      </c>
      <c r="E53" s="24" t="str">
        <f aca="false">IF(D53="","No Data",INDEX('Bid Tiers'!$A$4:$A$7,MATCH(D53,'Bid Tiers'!$B$4:$B$7,1)))</f>
        <v>Tier D — Below Threshold (&lt;5)</v>
      </c>
      <c r="F53" s="25" t="n">
        <f aca="false">IF(D53="",0.3,INDEX('Bid Tiers'!$E$4:$E$7,MATCH(D53,'Bid Tiers'!$B$4:$B$7,1)))</f>
        <v>0.6</v>
      </c>
      <c r="G53" s="14"/>
    </row>
    <row r="54" customFormat="false" ht="15" hidden="false" customHeight="false" outlineLevel="0" collapsed="false">
      <c r="A54" s="23" t="s">
        <v>37</v>
      </c>
      <c r="B54" s="24" t="s">
        <v>138</v>
      </c>
      <c r="C54" s="24" t="s">
        <v>81</v>
      </c>
      <c r="D54" s="15" t="n">
        <v>5</v>
      </c>
      <c r="E54" s="24" t="str">
        <f aca="false">IF(D54="","No Data",INDEX('Bid Tiers'!$A$4:$A$7,MATCH(D54,'Bid Tiers'!$B$4:$B$7,1)))</f>
        <v>Tier D — Below Threshold (&lt;5)</v>
      </c>
      <c r="F54" s="25" t="n">
        <f aca="false">IF(D54="",0.3,INDEX('Bid Tiers'!$E$4:$E$7,MATCH(D54,'Bid Tiers'!$B$4:$B$7,1)))</f>
        <v>0.6</v>
      </c>
      <c r="G54" s="14"/>
    </row>
    <row r="55" customFormat="false" ht="15" hidden="false" customHeight="false" outlineLevel="0" collapsed="false">
      <c r="A55" s="23" t="s">
        <v>37</v>
      </c>
      <c r="B55" s="24" t="s">
        <v>139</v>
      </c>
      <c r="C55" s="24" t="s">
        <v>81</v>
      </c>
      <c r="D55" s="15" t="n">
        <v>21</v>
      </c>
      <c r="E55" s="24" t="str">
        <f aca="false">IF(D55="","No Data",INDEX('Bid Tiers'!$A$4:$A$7,MATCH(D55,'Bid Tiers'!$B$4:$B$7,1)))</f>
        <v>Tier B — Mid Volume</v>
      </c>
      <c r="F55" s="25" t="n">
        <f aca="false">IF(D55="",0.3,INDEX('Bid Tiers'!$E$4:$E$7,MATCH(D55,'Bid Tiers'!$B$4:$B$7,1)))</f>
        <v>1.5</v>
      </c>
      <c r="G55" s="14"/>
    </row>
    <row r="56" customFormat="false" ht="15" hidden="false" customHeight="false" outlineLevel="0" collapsed="false">
      <c r="A56" s="23" t="s">
        <v>37</v>
      </c>
      <c r="B56" s="24" t="s">
        <v>140</v>
      </c>
      <c r="C56" s="24" t="s">
        <v>81</v>
      </c>
      <c r="D56" s="15" t="n">
        <v>41</v>
      </c>
      <c r="E56" s="24" t="str">
        <f aca="false">IF(D56="","No Data",INDEX('Bid Tiers'!$A$4:$A$7,MATCH(D56,'Bid Tiers'!$B$4:$B$7,1)))</f>
        <v>Tier B — Mid Volume</v>
      </c>
      <c r="F56" s="25" t="n">
        <f aca="false">IF(D56="",0.3,INDEX('Bid Tiers'!$E$4:$E$7,MATCH(D56,'Bid Tiers'!$B$4:$B$7,1)))</f>
        <v>1.5</v>
      </c>
      <c r="G56" s="14"/>
    </row>
    <row r="57" customFormat="false" ht="15" hidden="false" customHeight="false" outlineLevel="0" collapsed="false">
      <c r="A57" s="23" t="s">
        <v>37</v>
      </c>
      <c r="B57" s="24" t="s">
        <v>143</v>
      </c>
      <c r="C57" s="24" t="s">
        <v>81</v>
      </c>
      <c r="D57" s="15" t="n">
        <v>45</v>
      </c>
      <c r="E57" s="24" t="str">
        <f aca="false">IF(D57="","No Data",INDEX('Bid Tiers'!$A$4:$A$7,MATCH(D57,'Bid Tiers'!$B$4:$B$7,1)))</f>
        <v>Tier A — Head Term</v>
      </c>
      <c r="F57" s="25" t="n">
        <f aca="false">IF(D57="",0.3,INDEX('Bid Tiers'!$E$4:$E$7,MATCH(D57,'Bid Tiers'!$B$4:$B$7,1)))</f>
        <v>3</v>
      </c>
      <c r="G57" s="14"/>
    </row>
    <row r="58" customFormat="false" ht="15" hidden="false" customHeight="false" outlineLevel="0" collapsed="false">
      <c r="A58" s="23" t="s">
        <v>37</v>
      </c>
      <c r="B58" s="24" t="s">
        <v>141</v>
      </c>
      <c r="C58" s="24" t="s">
        <v>81</v>
      </c>
      <c r="D58" s="15" t="n">
        <v>5</v>
      </c>
      <c r="E58" s="24" t="str">
        <f aca="false">IF(D58="","No Data",INDEX('Bid Tiers'!$A$4:$A$7,MATCH(D58,'Bid Tiers'!$B$4:$B$7,1)))</f>
        <v>Tier D — Below Threshold (&lt;5)</v>
      </c>
      <c r="F58" s="25" t="n">
        <f aca="false">IF(D58="",0.3,INDEX('Bid Tiers'!$E$4:$E$7,MATCH(D58,'Bid Tiers'!$B$4:$B$7,1)))</f>
        <v>0.6</v>
      </c>
      <c r="G58" s="14"/>
    </row>
    <row r="59" customFormat="false" ht="15" hidden="false" customHeight="false" outlineLevel="0" collapsed="false">
      <c r="A59" s="23" t="s">
        <v>37</v>
      </c>
      <c r="B59" s="24" t="s">
        <v>142</v>
      </c>
      <c r="C59" s="24" t="s">
        <v>81</v>
      </c>
      <c r="D59" s="15" t="n">
        <v>5</v>
      </c>
      <c r="E59" s="24" t="str">
        <f aca="false">IF(D59="","No Data",INDEX('Bid Tiers'!$A$4:$A$7,MATCH(D59,'Bid Tiers'!$B$4:$B$7,1)))</f>
        <v>Tier D — Below Threshold (&lt;5)</v>
      </c>
      <c r="F59" s="25" t="n">
        <f aca="false">IF(D59="",0.3,INDEX('Bid Tiers'!$E$4:$E$7,MATCH(D59,'Bid Tiers'!$B$4:$B$7,1)))</f>
        <v>0.6</v>
      </c>
      <c r="G59" s="14"/>
    </row>
    <row r="60" customFormat="false" ht="15" hidden="false" customHeight="false" outlineLevel="0" collapsed="false">
      <c r="A60" s="23" t="s">
        <v>37</v>
      </c>
      <c r="B60" s="24" t="s">
        <v>144</v>
      </c>
      <c r="C60" s="24" t="s">
        <v>81</v>
      </c>
      <c r="D60" s="15" t="n">
        <v>21</v>
      </c>
      <c r="E60" s="24" t="str">
        <f aca="false">IF(D60="","No Data",INDEX('Bid Tiers'!$A$4:$A$7,MATCH(D60,'Bid Tiers'!$B$4:$B$7,1)))</f>
        <v>Tier B — Mid Volume</v>
      </c>
      <c r="F60" s="25" t="n">
        <f aca="false">IF(D60="",0.3,INDEX('Bid Tiers'!$E$4:$E$7,MATCH(D60,'Bid Tiers'!$B$4:$B$7,1)))</f>
        <v>1.5</v>
      </c>
      <c r="G60" s="14"/>
    </row>
    <row r="61" customFormat="false" ht="15" hidden="false" customHeight="false" outlineLevel="0" collapsed="false">
      <c r="A61" s="23" t="s">
        <v>37</v>
      </c>
      <c r="B61" s="24" t="s">
        <v>145</v>
      </c>
      <c r="C61" s="24" t="s">
        <v>81</v>
      </c>
      <c r="D61" s="15" t="n">
        <v>45</v>
      </c>
      <c r="E61" s="24" t="str">
        <f aca="false">IF(D61="","No Data",INDEX('Bid Tiers'!$A$4:$A$7,MATCH(D61,'Bid Tiers'!$B$4:$B$7,1)))</f>
        <v>Tier A — Head Term</v>
      </c>
      <c r="F61" s="25" t="n">
        <f aca="false">IF(D61="",0.3,INDEX('Bid Tiers'!$E$4:$E$7,MATCH(D61,'Bid Tiers'!$B$4:$B$7,1)))</f>
        <v>3</v>
      </c>
      <c r="G61" s="14"/>
    </row>
    <row r="62" customFormat="false" ht="15" hidden="false" customHeight="false" outlineLevel="0" collapsed="false">
      <c r="A62" s="23" t="s">
        <v>37</v>
      </c>
      <c r="B62" s="24" t="s">
        <v>146</v>
      </c>
      <c r="C62" s="24" t="s">
        <v>81</v>
      </c>
      <c r="D62" s="15" t="n">
        <v>5</v>
      </c>
      <c r="E62" s="24" t="str">
        <f aca="false">IF(D62="","No Data",INDEX('Bid Tiers'!$A$4:$A$7,MATCH(D62,'Bid Tiers'!$B$4:$B$7,1)))</f>
        <v>Tier D — Below Threshold (&lt;5)</v>
      </c>
      <c r="F62" s="25" t="n">
        <f aca="false">IF(D62="",0.3,INDEX('Bid Tiers'!$E$4:$E$7,MATCH(D62,'Bid Tiers'!$B$4:$B$7,1)))</f>
        <v>0.6</v>
      </c>
      <c r="G62" s="14"/>
    </row>
    <row r="63" customFormat="false" ht="15" hidden="false" customHeight="false" outlineLevel="0" collapsed="false">
      <c r="A63" s="23" t="s">
        <v>37</v>
      </c>
      <c r="B63" s="24" t="s">
        <v>147</v>
      </c>
      <c r="C63" s="24" t="s">
        <v>81</v>
      </c>
      <c r="D63" s="15" t="n">
        <v>5</v>
      </c>
      <c r="E63" s="24" t="str">
        <f aca="false">IF(D63="","No Data",INDEX('Bid Tiers'!$A$4:$A$7,MATCH(D63,'Bid Tiers'!$B$4:$B$7,1)))</f>
        <v>Tier D — Below Threshold (&lt;5)</v>
      </c>
      <c r="F63" s="25" t="n">
        <f aca="false">IF(D63="",0.3,INDEX('Bid Tiers'!$E$4:$E$7,MATCH(D63,'Bid Tiers'!$B$4:$B$7,1)))</f>
        <v>0.6</v>
      </c>
      <c r="G63" s="14"/>
    </row>
    <row r="64" customFormat="false" ht="15" hidden="false" customHeight="false" outlineLevel="0" collapsed="false">
      <c r="A64" s="23" t="s">
        <v>37</v>
      </c>
      <c r="B64" s="24" t="s">
        <v>148</v>
      </c>
      <c r="C64" s="24" t="s">
        <v>81</v>
      </c>
      <c r="D64" s="15" t="n">
        <v>45</v>
      </c>
      <c r="E64" s="24" t="str">
        <f aca="false">IF(D64="","No Data",INDEX('Bid Tiers'!$A$4:$A$7,MATCH(D64,'Bid Tiers'!$B$4:$B$7,1)))</f>
        <v>Tier A — Head Term</v>
      </c>
      <c r="F64" s="25" t="n">
        <f aca="false">IF(D64="",0.3,INDEX('Bid Tiers'!$E$4:$E$7,MATCH(D64,'Bid Tiers'!$B$4:$B$7,1)))</f>
        <v>3</v>
      </c>
      <c r="G64" s="14"/>
    </row>
    <row r="65" customFormat="false" ht="15" hidden="false" customHeight="false" outlineLevel="0" collapsed="false">
      <c r="A65" s="23" t="s">
        <v>37</v>
      </c>
      <c r="B65" s="24" t="s">
        <v>149</v>
      </c>
      <c r="C65" s="24" t="s">
        <v>81</v>
      </c>
      <c r="D65" s="15" t="n">
        <v>47</v>
      </c>
      <c r="E65" s="24" t="str">
        <f aca="false">IF(D65="","No Data",INDEX('Bid Tiers'!$A$4:$A$7,MATCH(D65,'Bid Tiers'!$B$4:$B$7,1)))</f>
        <v>Tier A — Head Term</v>
      </c>
      <c r="F65" s="25" t="n">
        <f aca="false">IF(D65="",0.3,INDEX('Bid Tiers'!$E$4:$E$7,MATCH(D65,'Bid Tiers'!$B$4:$B$7,1)))</f>
        <v>3</v>
      </c>
      <c r="G65" s="14"/>
    </row>
    <row r="66" customFormat="false" ht="15" hidden="false" customHeight="false" outlineLevel="0" collapsed="false">
      <c r="A66" s="23" t="s">
        <v>37</v>
      </c>
      <c r="B66" s="24" t="s">
        <v>150</v>
      </c>
      <c r="C66" s="24" t="s">
        <v>81</v>
      </c>
      <c r="D66" s="15" t="n">
        <v>10</v>
      </c>
      <c r="E66" s="24" t="str">
        <f aca="false">IF(D66="","No Data",INDEX('Bid Tiers'!$A$4:$A$7,MATCH(D66,'Bid Tiers'!$B$4:$B$7,1)))</f>
        <v>Tier C — Long-Tail</v>
      </c>
      <c r="F66" s="25" t="n">
        <f aca="false">IF(D66="",0.3,INDEX('Bid Tiers'!$E$4:$E$7,MATCH(D66,'Bid Tiers'!$B$4:$B$7,1)))</f>
        <v>0.9</v>
      </c>
      <c r="G66" s="14"/>
    </row>
    <row r="67" customFormat="false" ht="15" hidden="false" customHeight="false" outlineLevel="0" collapsed="false">
      <c r="A67" s="23" t="s">
        <v>37</v>
      </c>
      <c r="B67" s="24" t="s">
        <v>151</v>
      </c>
      <c r="C67" s="24" t="s">
        <v>81</v>
      </c>
      <c r="D67" s="15" t="n">
        <v>5</v>
      </c>
      <c r="E67" s="24" t="str">
        <f aca="false">IF(D67="","No Data",INDEX('Bid Tiers'!$A$4:$A$7,MATCH(D67,'Bid Tiers'!$B$4:$B$7,1)))</f>
        <v>Tier D — Below Threshold (&lt;5)</v>
      </c>
      <c r="F67" s="25" t="n">
        <f aca="false">IF(D67="",0.3,INDEX('Bid Tiers'!$E$4:$E$7,MATCH(D67,'Bid Tiers'!$B$4:$B$7,1)))</f>
        <v>0.6</v>
      </c>
      <c r="G67" s="14"/>
    </row>
    <row r="68" customFormat="false" ht="15" hidden="false" customHeight="false" outlineLevel="0" collapsed="false">
      <c r="A68" s="23" t="s">
        <v>37</v>
      </c>
      <c r="B68" s="24" t="s">
        <v>152</v>
      </c>
      <c r="C68" s="24" t="s">
        <v>81</v>
      </c>
      <c r="D68" s="15" t="n">
        <v>5</v>
      </c>
      <c r="E68" s="24" t="str">
        <f aca="false">IF(D68="","No Data",INDEX('Bid Tiers'!$A$4:$A$7,MATCH(D68,'Bid Tiers'!$B$4:$B$7,1)))</f>
        <v>Tier D — Below Threshold (&lt;5)</v>
      </c>
      <c r="F68" s="25" t="n">
        <f aca="false">IF(D68="",0.3,INDEX('Bid Tiers'!$E$4:$E$7,MATCH(D68,'Bid Tiers'!$B$4:$B$7,1)))</f>
        <v>0.6</v>
      </c>
      <c r="G68" s="14"/>
    </row>
    <row r="69" customFormat="false" ht="15" hidden="false" customHeight="false" outlineLevel="0" collapsed="false">
      <c r="A69" s="23" t="s">
        <v>37</v>
      </c>
      <c r="B69" s="24" t="s">
        <v>153</v>
      </c>
      <c r="C69" s="24" t="s">
        <v>81</v>
      </c>
      <c r="D69" s="15" t="n">
        <v>5</v>
      </c>
      <c r="E69" s="24" t="str">
        <f aca="false">IF(D69="","No Data",INDEX('Bid Tiers'!$A$4:$A$7,MATCH(D69,'Bid Tiers'!$B$4:$B$7,1)))</f>
        <v>Tier D — Below Threshold (&lt;5)</v>
      </c>
      <c r="F69" s="25" t="n">
        <f aca="false">IF(D69="",0.3,INDEX('Bid Tiers'!$E$4:$E$7,MATCH(D69,'Bid Tiers'!$B$4:$B$7,1)))</f>
        <v>0.6</v>
      </c>
      <c r="G69" s="14"/>
    </row>
    <row r="70" customFormat="false" ht="15" hidden="false" customHeight="false" outlineLevel="0" collapsed="false">
      <c r="A70" s="23" t="s">
        <v>37</v>
      </c>
      <c r="B70" s="24" t="s">
        <v>154</v>
      </c>
      <c r="C70" s="24" t="s">
        <v>81</v>
      </c>
      <c r="D70" s="15" t="n">
        <v>5</v>
      </c>
      <c r="E70" s="24" t="str">
        <f aca="false">IF(D70="","No Data",INDEX('Bid Tiers'!$A$4:$A$7,MATCH(D70,'Bid Tiers'!$B$4:$B$7,1)))</f>
        <v>Tier D — Below Threshold (&lt;5)</v>
      </c>
      <c r="F70" s="25" t="n">
        <f aca="false">IF(D70="",0.3,INDEX('Bid Tiers'!$E$4:$E$7,MATCH(D70,'Bid Tiers'!$B$4:$B$7,1)))</f>
        <v>0.6</v>
      </c>
      <c r="G70" s="14"/>
    </row>
    <row r="71" customFormat="false" ht="15" hidden="false" customHeight="false" outlineLevel="0" collapsed="false">
      <c r="A71" s="23" t="s">
        <v>37</v>
      </c>
      <c r="B71" s="24" t="s">
        <v>155</v>
      </c>
      <c r="C71" s="24" t="s">
        <v>81</v>
      </c>
      <c r="D71" s="15" t="n">
        <v>5</v>
      </c>
      <c r="E71" s="24" t="str">
        <f aca="false">IF(D71="","No Data",INDEX('Bid Tiers'!$A$4:$A$7,MATCH(D71,'Bid Tiers'!$B$4:$B$7,1)))</f>
        <v>Tier D — Below Threshold (&lt;5)</v>
      </c>
      <c r="F71" s="25" t="n">
        <f aca="false">IF(D71="",0.3,INDEX('Bid Tiers'!$E$4:$E$7,MATCH(D71,'Bid Tiers'!$B$4:$B$7,1)))</f>
        <v>0.6</v>
      </c>
      <c r="G71" s="14"/>
    </row>
    <row r="72" customFormat="false" ht="15" hidden="false" customHeight="false" outlineLevel="0" collapsed="false">
      <c r="A72" s="23" t="s">
        <v>37</v>
      </c>
      <c r="B72" s="24" t="s">
        <v>156</v>
      </c>
      <c r="C72" s="24" t="s">
        <v>81</v>
      </c>
      <c r="D72" s="15" t="n">
        <v>48</v>
      </c>
      <c r="E72" s="24" t="str">
        <f aca="false">IF(D72="","No Data",INDEX('Bid Tiers'!$A$4:$A$7,MATCH(D72,'Bid Tiers'!$B$4:$B$7,1)))</f>
        <v>Tier A — Head Term</v>
      </c>
      <c r="F72" s="25" t="n">
        <f aca="false">IF(D72="",0.3,INDEX('Bid Tiers'!$E$4:$E$7,MATCH(D72,'Bid Tiers'!$B$4:$B$7,1)))</f>
        <v>3</v>
      </c>
      <c r="G72" s="14"/>
    </row>
    <row r="73" customFormat="false" ht="15" hidden="false" customHeight="false" outlineLevel="0" collapsed="false">
      <c r="A73" s="23" t="s">
        <v>40</v>
      </c>
      <c r="B73" s="24" t="s">
        <v>157</v>
      </c>
      <c r="C73" s="24" t="s">
        <v>81</v>
      </c>
      <c r="D73" s="15" t="n">
        <v>44</v>
      </c>
      <c r="E73" s="24" t="str">
        <f aca="false">IF(D73="","No Data",INDEX('Bid Tiers'!$A$4:$A$7,MATCH(D73,'Bid Tiers'!$B$4:$B$7,1)))</f>
        <v>Tier B — Mid Volume</v>
      </c>
      <c r="F73" s="25" t="n">
        <f aca="false">IF(D73="",0.3,INDEX('Bid Tiers'!$E$4:$E$7,MATCH(D73,'Bid Tiers'!$B$4:$B$7,1)))</f>
        <v>1.5</v>
      </c>
      <c r="G73" s="14"/>
    </row>
    <row r="74" customFormat="false" ht="15" hidden="false" customHeight="false" outlineLevel="0" collapsed="false">
      <c r="A74" s="23" t="s">
        <v>40</v>
      </c>
      <c r="B74" s="24" t="s">
        <v>158</v>
      </c>
      <c r="C74" s="24" t="s">
        <v>81</v>
      </c>
      <c r="D74" s="15" t="n">
        <v>5</v>
      </c>
      <c r="E74" s="24" t="str">
        <f aca="false">IF(D74="","No Data",INDEX('Bid Tiers'!$A$4:$A$7,MATCH(D74,'Bid Tiers'!$B$4:$B$7,1)))</f>
        <v>Tier D — Below Threshold (&lt;5)</v>
      </c>
      <c r="F74" s="25" t="n">
        <f aca="false">IF(D74="",0.3,INDEX('Bid Tiers'!$E$4:$E$7,MATCH(D74,'Bid Tiers'!$B$4:$B$7,1)))</f>
        <v>0.6</v>
      </c>
      <c r="G74" s="14"/>
    </row>
    <row r="75" customFormat="false" ht="35.05" hidden="false" customHeight="false" outlineLevel="0" collapsed="false">
      <c r="A75" s="23" t="s">
        <v>40</v>
      </c>
      <c r="B75" s="24" t="s">
        <v>159</v>
      </c>
      <c r="C75" s="24" t="s">
        <v>81</v>
      </c>
      <c r="D75" s="15" t="n">
        <v>46</v>
      </c>
      <c r="E75" s="24" t="str">
        <f aca="false">IF(D75="","No Data",INDEX('Bid Tiers'!$A$4:$A$7,MATCH(D75,'Bid Tiers'!$B$4:$B$7,1)))</f>
        <v>Tier A — Head Term</v>
      </c>
      <c r="F75" s="25" t="n">
        <f aca="false">IF(D75="",0.3,INDEX('Bid Tiers'!$E$4:$E$7,MATCH(D75,'Bid Tiers'!$B$4:$B$7,1)))</f>
        <v>3</v>
      </c>
      <c r="G75" s="14" t="s">
        <v>160</v>
      </c>
    </row>
    <row r="76" customFormat="false" ht="15" hidden="false" customHeight="false" outlineLevel="0" collapsed="false">
      <c r="A76" s="23" t="s">
        <v>40</v>
      </c>
      <c r="B76" s="24" t="s">
        <v>161</v>
      </c>
      <c r="C76" s="24" t="s">
        <v>81</v>
      </c>
      <c r="D76" s="15" t="n">
        <v>54</v>
      </c>
      <c r="E76" s="24" t="str">
        <f aca="false">IF(D76="","No Data",INDEX('Bid Tiers'!$A$4:$A$7,MATCH(D76,'Bid Tiers'!$B$4:$B$7,1)))</f>
        <v>Tier A — Head Term</v>
      </c>
      <c r="F76" s="25" t="n">
        <f aca="false">IF(D76="",0.3,INDEX('Bid Tiers'!$E$4:$E$7,MATCH(D76,'Bid Tiers'!$B$4:$B$7,1)))</f>
        <v>3</v>
      </c>
      <c r="G76" s="14"/>
    </row>
    <row r="77" customFormat="false" ht="15" hidden="false" customHeight="false" outlineLevel="0" collapsed="false">
      <c r="A77" s="23" t="s">
        <v>40</v>
      </c>
      <c r="B77" s="24" t="s">
        <v>162</v>
      </c>
      <c r="C77" s="24" t="s">
        <v>81</v>
      </c>
      <c r="D77" s="15" t="n">
        <v>44</v>
      </c>
      <c r="E77" s="24" t="str">
        <f aca="false">IF(D77="","No Data",INDEX('Bid Tiers'!$A$4:$A$7,MATCH(D77,'Bid Tiers'!$B$4:$B$7,1)))</f>
        <v>Tier B — Mid Volume</v>
      </c>
      <c r="F77" s="25" t="n">
        <f aca="false">IF(D77="",0.3,INDEX('Bid Tiers'!$E$4:$E$7,MATCH(D77,'Bid Tiers'!$B$4:$B$7,1)))</f>
        <v>1.5</v>
      </c>
      <c r="G77" s="14"/>
    </row>
    <row r="78" customFormat="false" ht="15" hidden="false" customHeight="false" outlineLevel="0" collapsed="false">
      <c r="A78" s="23" t="s">
        <v>40</v>
      </c>
      <c r="B78" s="24" t="s">
        <v>163</v>
      </c>
      <c r="C78" s="24" t="s">
        <v>81</v>
      </c>
      <c r="D78" s="15" t="n">
        <v>52</v>
      </c>
      <c r="E78" s="24" t="str">
        <f aca="false">IF(D78="","No Data",INDEX('Bid Tiers'!$A$4:$A$7,MATCH(D78,'Bid Tiers'!$B$4:$B$7,1)))</f>
        <v>Tier A — Head Term</v>
      </c>
      <c r="F78" s="25" t="n">
        <f aca="false">IF(D78="",0.3,INDEX('Bid Tiers'!$E$4:$E$7,MATCH(D78,'Bid Tiers'!$B$4:$B$7,1)))</f>
        <v>3</v>
      </c>
      <c r="G78" s="14"/>
    </row>
    <row r="79" customFormat="false" ht="15" hidden="false" customHeight="false" outlineLevel="0" collapsed="false">
      <c r="A79" s="23" t="s">
        <v>43</v>
      </c>
      <c r="B79" s="24" t="s">
        <v>164</v>
      </c>
      <c r="C79" s="24" t="s">
        <v>81</v>
      </c>
      <c r="D79" s="15" t="n">
        <v>53</v>
      </c>
      <c r="E79" s="24" t="str">
        <f aca="false">IF(D79="","No Data",INDEX('Bid Tiers'!$A$4:$A$7,MATCH(D79,'Bid Tiers'!$B$4:$B$7,1)))</f>
        <v>Tier A — Head Term</v>
      </c>
      <c r="F79" s="25" t="n">
        <f aca="false">IF(D79="",0.3,INDEX('Bid Tiers'!$E$4:$E$7,MATCH(D79,'Bid Tiers'!$B$4:$B$7,1)))</f>
        <v>3</v>
      </c>
      <c r="G79" s="14"/>
    </row>
    <row r="80" customFormat="false" ht="15" hidden="false" customHeight="false" outlineLevel="0" collapsed="false">
      <c r="A80" s="23" t="s">
        <v>43</v>
      </c>
      <c r="B80" s="24" t="s">
        <v>165</v>
      </c>
      <c r="C80" s="24" t="s">
        <v>81</v>
      </c>
      <c r="D80" s="15" t="n">
        <v>48</v>
      </c>
      <c r="E80" s="24" t="str">
        <f aca="false">IF(D80="","No Data",INDEX('Bid Tiers'!$A$4:$A$7,MATCH(D80,'Bid Tiers'!$B$4:$B$7,1)))</f>
        <v>Tier A — Head Term</v>
      </c>
      <c r="F80" s="25" t="n">
        <f aca="false">IF(D80="",0.3,INDEX('Bid Tiers'!$E$4:$E$7,MATCH(D80,'Bid Tiers'!$B$4:$B$7,1)))</f>
        <v>3</v>
      </c>
      <c r="G80" s="14"/>
    </row>
    <row r="81" customFormat="false" ht="23.85" hidden="false" customHeight="false" outlineLevel="0" collapsed="false">
      <c r="A81" s="23" t="s">
        <v>43</v>
      </c>
      <c r="B81" s="24" t="s">
        <v>166</v>
      </c>
      <c r="C81" s="24" t="s">
        <v>81</v>
      </c>
      <c r="D81" s="15" t="n">
        <v>63</v>
      </c>
      <c r="E81" s="24" t="str">
        <f aca="false">IF(D81="","No Data",INDEX('Bid Tiers'!$A$4:$A$7,MATCH(D81,'Bid Tiers'!$B$4:$B$7,1)))</f>
        <v>Tier A — Head Term</v>
      </c>
      <c r="F81" s="25" t="n">
        <f aca="false">IF(D81="",0.3,INDEX('Bid Tiers'!$E$4:$E$7,MATCH(D81,'Bid Tiers'!$B$4:$B$7,1)))</f>
        <v>3</v>
      </c>
      <c r="G81" s="14" t="s">
        <v>167</v>
      </c>
    </row>
    <row r="82" customFormat="false" ht="15" hidden="false" customHeight="false" outlineLevel="0" collapsed="false">
      <c r="A82" s="23" t="s">
        <v>43</v>
      </c>
      <c r="B82" s="24" t="s">
        <v>168</v>
      </c>
      <c r="C82" s="24" t="s">
        <v>81</v>
      </c>
      <c r="D82" s="15" t="n">
        <v>46</v>
      </c>
      <c r="E82" s="24" t="str">
        <f aca="false">IF(D82="","No Data",INDEX('Bid Tiers'!$A$4:$A$7,MATCH(D82,'Bid Tiers'!$B$4:$B$7,1)))</f>
        <v>Tier A — Head Term</v>
      </c>
      <c r="F82" s="25" t="n">
        <f aca="false">IF(D82="",0.3,INDEX('Bid Tiers'!$E$4:$E$7,MATCH(D82,'Bid Tiers'!$B$4:$B$7,1)))</f>
        <v>3</v>
      </c>
      <c r="G82" s="14"/>
    </row>
    <row r="83" customFormat="false" ht="15" hidden="false" customHeight="false" outlineLevel="0" collapsed="false">
      <c r="A83" s="23" t="s">
        <v>43</v>
      </c>
      <c r="B83" s="24" t="s">
        <v>169</v>
      </c>
      <c r="C83" s="24" t="s">
        <v>81</v>
      </c>
      <c r="D83" s="15" t="n">
        <v>5</v>
      </c>
      <c r="E83" s="24" t="str">
        <f aca="false">IF(D83="","No Data",INDEX('Bid Tiers'!$A$4:$A$7,MATCH(D83,'Bid Tiers'!$B$4:$B$7,1)))</f>
        <v>Tier D — Below Threshold (&lt;5)</v>
      </c>
      <c r="F83" s="25" t="n">
        <f aca="false">IF(D83="",0.3,INDEX('Bid Tiers'!$E$4:$E$7,MATCH(D83,'Bid Tiers'!$B$4:$B$7,1)))</f>
        <v>0.6</v>
      </c>
      <c r="G83" s="14"/>
    </row>
    <row r="84" customFormat="false" ht="15" hidden="false" customHeight="false" outlineLevel="0" collapsed="false">
      <c r="A84" s="23" t="s">
        <v>43</v>
      </c>
      <c r="B84" s="24" t="s">
        <v>170</v>
      </c>
      <c r="C84" s="24" t="s">
        <v>81</v>
      </c>
      <c r="D84" s="15" t="n">
        <v>33</v>
      </c>
      <c r="E84" s="24" t="str">
        <f aca="false">IF(D84="","No Data",INDEX('Bid Tiers'!$A$4:$A$7,MATCH(D84,'Bid Tiers'!$B$4:$B$7,1)))</f>
        <v>Tier B — Mid Volume</v>
      </c>
      <c r="F84" s="25" t="n">
        <f aca="false">IF(D84="",0.3,INDEX('Bid Tiers'!$E$4:$E$7,MATCH(D84,'Bid Tiers'!$B$4:$B$7,1)))</f>
        <v>1.5</v>
      </c>
      <c r="G84" s="14"/>
    </row>
    <row r="85" customFormat="false" ht="15" hidden="false" customHeight="false" outlineLevel="0" collapsed="false">
      <c r="A85" s="23" t="s">
        <v>43</v>
      </c>
      <c r="B85" s="24" t="s">
        <v>171</v>
      </c>
      <c r="C85" s="24" t="s">
        <v>81</v>
      </c>
      <c r="D85" s="15" t="n">
        <v>46</v>
      </c>
      <c r="E85" s="24" t="str">
        <f aca="false">IF(D85="","No Data",INDEX('Bid Tiers'!$A$4:$A$7,MATCH(D85,'Bid Tiers'!$B$4:$B$7,1)))</f>
        <v>Tier A — Head Term</v>
      </c>
      <c r="F85" s="25" t="n">
        <f aca="false">IF(D85="",0.3,INDEX('Bid Tiers'!$E$4:$E$7,MATCH(D85,'Bid Tiers'!$B$4:$B$7,1)))</f>
        <v>3</v>
      </c>
      <c r="G85" s="14"/>
    </row>
    <row r="86" customFormat="false" ht="15" hidden="false" customHeight="false" outlineLevel="0" collapsed="false">
      <c r="A86" s="23" t="s">
        <v>43</v>
      </c>
      <c r="B86" s="24" t="s">
        <v>172</v>
      </c>
      <c r="C86" s="24" t="s">
        <v>81</v>
      </c>
      <c r="D86" s="15" t="n">
        <v>5</v>
      </c>
      <c r="E86" s="24" t="str">
        <f aca="false">IF(D86="","No Data",INDEX('Bid Tiers'!$A$4:$A$7,MATCH(D86,'Bid Tiers'!$B$4:$B$7,1)))</f>
        <v>Tier D — Below Threshold (&lt;5)</v>
      </c>
      <c r="F86" s="25" t="n">
        <f aca="false">IF(D86="",0.3,INDEX('Bid Tiers'!$E$4:$E$7,MATCH(D86,'Bid Tiers'!$B$4:$B$7,1)))</f>
        <v>0.6</v>
      </c>
      <c r="G86" s="14"/>
    </row>
    <row r="87" customFormat="false" ht="15" hidden="false" customHeight="false" outlineLevel="0" collapsed="false">
      <c r="A87" s="23" t="s">
        <v>43</v>
      </c>
      <c r="B87" s="24" t="s">
        <v>173</v>
      </c>
      <c r="C87" s="24" t="s">
        <v>81</v>
      </c>
      <c r="D87" s="15" t="n">
        <v>6</v>
      </c>
      <c r="E87" s="24" t="str">
        <f aca="false">IF(D87="","No Data",INDEX('Bid Tiers'!$A$4:$A$7,MATCH(D87,'Bid Tiers'!$B$4:$B$7,1)))</f>
        <v>Tier C — Long-Tail</v>
      </c>
      <c r="F87" s="25" t="n">
        <f aca="false">IF(D87="",0.3,INDEX('Bid Tiers'!$E$4:$E$7,MATCH(D87,'Bid Tiers'!$B$4:$B$7,1)))</f>
        <v>0.9</v>
      </c>
      <c r="G87" s="14"/>
    </row>
    <row r="88" customFormat="false" ht="15" hidden="false" customHeight="false" outlineLevel="0" collapsed="false">
      <c r="A88" s="23" t="s">
        <v>43</v>
      </c>
      <c r="B88" s="24" t="s">
        <v>174</v>
      </c>
      <c r="C88" s="24" t="s">
        <v>81</v>
      </c>
      <c r="D88" s="15" t="n">
        <v>42</v>
      </c>
      <c r="E88" s="24" t="str">
        <f aca="false">IF(D88="","No Data",INDEX('Bid Tiers'!$A$4:$A$7,MATCH(D88,'Bid Tiers'!$B$4:$B$7,1)))</f>
        <v>Tier B — Mid Volume</v>
      </c>
      <c r="F88" s="25" t="n">
        <f aca="false">IF(D88="",0.3,INDEX('Bid Tiers'!$E$4:$E$7,MATCH(D88,'Bid Tiers'!$B$4:$B$7,1)))</f>
        <v>1.5</v>
      </c>
      <c r="G88" s="14"/>
    </row>
    <row r="89" customFormat="false" ht="15" hidden="false" customHeight="false" outlineLevel="0" collapsed="false">
      <c r="A89" s="23" t="s">
        <v>43</v>
      </c>
      <c r="B89" s="24" t="s">
        <v>175</v>
      </c>
      <c r="C89" s="24" t="s">
        <v>81</v>
      </c>
      <c r="D89" s="15" t="n">
        <v>5</v>
      </c>
      <c r="E89" s="24" t="str">
        <f aca="false">IF(D89="","No Data",INDEX('Bid Tiers'!$A$4:$A$7,MATCH(D89,'Bid Tiers'!$B$4:$B$7,1)))</f>
        <v>Tier D — Below Threshold (&lt;5)</v>
      </c>
      <c r="F89" s="25" t="n">
        <f aca="false">IF(D89="",0.3,INDEX('Bid Tiers'!$E$4:$E$7,MATCH(D89,'Bid Tiers'!$B$4:$B$7,1)))</f>
        <v>0.6</v>
      </c>
      <c r="G89" s="14"/>
    </row>
    <row r="90" customFormat="false" ht="15" hidden="false" customHeight="false" outlineLevel="0" collapsed="false">
      <c r="A90" s="23" t="s">
        <v>46</v>
      </c>
      <c r="B90" s="24" t="s">
        <v>176</v>
      </c>
      <c r="C90" s="24" t="s">
        <v>81</v>
      </c>
      <c r="D90" s="15" t="n">
        <v>46</v>
      </c>
      <c r="E90" s="24" t="str">
        <f aca="false">IF(D90="","No Data",INDEX('Bid Tiers'!$A$4:$A$7,MATCH(D90,'Bid Tiers'!$B$4:$B$7,1)))</f>
        <v>Tier A — Head Term</v>
      </c>
      <c r="F90" s="25" t="n">
        <f aca="false">IF(D90="",0.3,INDEX('Bid Tiers'!$E$4:$E$7,MATCH(D90,'Bid Tiers'!$B$4:$B$7,1)))</f>
        <v>3</v>
      </c>
      <c r="G90" s="14"/>
    </row>
    <row r="91" customFormat="false" ht="15" hidden="false" customHeight="false" outlineLevel="0" collapsed="false">
      <c r="A91" s="23" t="s">
        <v>46</v>
      </c>
      <c r="B91" s="24" t="s">
        <v>177</v>
      </c>
      <c r="C91" s="24" t="s">
        <v>81</v>
      </c>
      <c r="D91" s="15" t="n">
        <v>5</v>
      </c>
      <c r="E91" s="24" t="str">
        <f aca="false">IF(D91="","No Data",INDEX('Bid Tiers'!$A$4:$A$7,MATCH(D91,'Bid Tiers'!$B$4:$B$7,1)))</f>
        <v>Tier D — Below Threshold (&lt;5)</v>
      </c>
      <c r="F91" s="25" t="n">
        <f aca="false">IF(D91="",0.3,INDEX('Bid Tiers'!$E$4:$E$7,MATCH(D91,'Bid Tiers'!$B$4:$B$7,1)))</f>
        <v>0.6</v>
      </c>
      <c r="G91" s="14"/>
    </row>
    <row r="92" customFormat="false" ht="15" hidden="false" customHeight="false" outlineLevel="0" collapsed="false">
      <c r="A92" s="23" t="s">
        <v>46</v>
      </c>
      <c r="B92" s="24" t="s">
        <v>178</v>
      </c>
      <c r="C92" s="24" t="s">
        <v>81</v>
      </c>
      <c r="D92" s="15" t="n">
        <v>5</v>
      </c>
      <c r="E92" s="24" t="str">
        <f aca="false">IF(D92="","No Data",INDEX('Bid Tiers'!$A$4:$A$7,MATCH(D92,'Bid Tiers'!$B$4:$B$7,1)))</f>
        <v>Tier D — Below Threshold (&lt;5)</v>
      </c>
      <c r="F92" s="25" t="n">
        <f aca="false">IF(D92="",0.3,INDEX('Bid Tiers'!$E$4:$E$7,MATCH(D92,'Bid Tiers'!$B$4:$B$7,1)))</f>
        <v>0.6</v>
      </c>
      <c r="G92" s="14"/>
    </row>
    <row r="93" customFormat="false" ht="15" hidden="false" customHeight="false" outlineLevel="0" collapsed="false">
      <c r="A93" s="23" t="s">
        <v>46</v>
      </c>
      <c r="B93" s="24" t="s">
        <v>179</v>
      </c>
      <c r="C93" s="24" t="s">
        <v>81</v>
      </c>
      <c r="D93" s="15" t="n">
        <v>5</v>
      </c>
      <c r="E93" s="24" t="str">
        <f aca="false">IF(D93="","No Data",INDEX('Bid Tiers'!$A$4:$A$7,MATCH(D93,'Bid Tiers'!$B$4:$B$7,1)))</f>
        <v>Tier D — Below Threshold (&lt;5)</v>
      </c>
      <c r="F93" s="25" t="n">
        <f aca="false">IF(D93="",0.3,INDEX('Bid Tiers'!$E$4:$E$7,MATCH(D93,'Bid Tiers'!$B$4:$B$7,1)))</f>
        <v>0.6</v>
      </c>
      <c r="G93" s="14"/>
    </row>
    <row r="94" customFormat="false" ht="35.05" hidden="false" customHeight="false" outlineLevel="0" collapsed="false">
      <c r="A94" s="23" t="s">
        <v>46</v>
      </c>
      <c r="B94" s="24" t="s">
        <v>180</v>
      </c>
      <c r="C94" s="24" t="s">
        <v>81</v>
      </c>
      <c r="D94" s="15"/>
      <c r="E94" s="24" t="str">
        <f aca="false">IF(D94="","No Data",INDEX('Bid Tiers'!$A$4:$A$7,MATCH(D94,'Bid Tiers'!$B$4:$B$7,1)))</f>
        <v>No Data</v>
      </c>
      <c r="F94" s="25" t="n">
        <f aca="false">IF(D94="",0.3,INDEX('Bid Tiers'!$E$4:$E$7,MATCH(D94,'Bid Tiers'!$B$4:$B$7,1)))</f>
        <v>0.3</v>
      </c>
      <c r="G94" s="14" t="s">
        <v>181</v>
      </c>
    </row>
    <row r="95" customFormat="false" ht="15" hidden="false" customHeight="false" outlineLevel="0" collapsed="false">
      <c r="A95" s="23" t="s">
        <v>46</v>
      </c>
      <c r="B95" s="24" t="s">
        <v>182</v>
      </c>
      <c r="C95" s="24" t="s">
        <v>81</v>
      </c>
      <c r="D95" s="15" t="n">
        <v>40</v>
      </c>
      <c r="E95" s="24" t="str">
        <f aca="false">IF(D95="","No Data",INDEX('Bid Tiers'!$A$4:$A$7,MATCH(D95,'Bid Tiers'!$B$4:$B$7,1)))</f>
        <v>Tier B — Mid Volume</v>
      </c>
      <c r="F95" s="25" t="n">
        <f aca="false">IF(D95="",0.3,INDEX('Bid Tiers'!$E$4:$E$7,MATCH(D95,'Bid Tiers'!$B$4:$B$7,1)))</f>
        <v>1.5</v>
      </c>
      <c r="G95" s="14"/>
    </row>
    <row r="96" customFormat="false" ht="15" hidden="false" customHeight="false" outlineLevel="0" collapsed="false">
      <c r="A96" s="23" t="s">
        <v>46</v>
      </c>
      <c r="B96" s="24" t="s">
        <v>183</v>
      </c>
      <c r="C96" s="24" t="s">
        <v>81</v>
      </c>
      <c r="D96" s="15"/>
      <c r="E96" s="24" t="str">
        <f aca="false">IF(D96="","No Data",INDEX('Bid Tiers'!$A$4:$A$7,MATCH(D96,'Bid Tiers'!$B$4:$B$7,1)))</f>
        <v>No Data</v>
      </c>
      <c r="F96" s="25" t="n">
        <f aca="false">IF(D96="",0.3,INDEX('Bid Tiers'!$E$4:$E$7,MATCH(D96,'Bid Tiers'!$B$4:$B$7,1)))</f>
        <v>0.3</v>
      </c>
      <c r="G96" s="14"/>
    </row>
    <row r="97" customFormat="false" ht="15" hidden="false" customHeight="false" outlineLevel="0" collapsed="false">
      <c r="A97" s="23" t="s">
        <v>46</v>
      </c>
      <c r="B97" s="24" t="s">
        <v>184</v>
      </c>
      <c r="C97" s="24" t="s">
        <v>81</v>
      </c>
      <c r="D97" s="15" t="n">
        <v>14</v>
      </c>
      <c r="E97" s="24" t="str">
        <f aca="false">IF(D97="","No Data",INDEX('Bid Tiers'!$A$4:$A$7,MATCH(D97,'Bid Tiers'!$B$4:$B$7,1)))</f>
        <v>Tier C — Long-Tail</v>
      </c>
      <c r="F97" s="25" t="n">
        <f aca="false">IF(D97="",0.3,INDEX('Bid Tiers'!$E$4:$E$7,MATCH(D97,'Bid Tiers'!$B$4:$B$7,1)))</f>
        <v>0.9</v>
      </c>
      <c r="G97" s="14"/>
    </row>
    <row r="98" customFormat="false" ht="15" hidden="false" customHeight="false" outlineLevel="0" collapsed="false">
      <c r="A98" s="23" t="s">
        <v>46</v>
      </c>
      <c r="B98" s="24" t="s">
        <v>185</v>
      </c>
      <c r="C98" s="24" t="s">
        <v>81</v>
      </c>
      <c r="D98" s="15" t="n">
        <v>12</v>
      </c>
      <c r="E98" s="24" t="str">
        <f aca="false">IF(D98="","No Data",INDEX('Bid Tiers'!$A$4:$A$7,MATCH(D98,'Bid Tiers'!$B$4:$B$7,1)))</f>
        <v>Tier C — Long-Tail</v>
      </c>
      <c r="F98" s="25" t="n">
        <f aca="false">IF(D98="",0.3,INDEX('Bid Tiers'!$E$4:$E$7,MATCH(D98,'Bid Tiers'!$B$4:$B$7,1)))</f>
        <v>0.9</v>
      </c>
      <c r="G98" s="14"/>
    </row>
    <row r="99" customFormat="false" ht="15" hidden="false" customHeight="false" outlineLevel="0" collapsed="false">
      <c r="A99" s="23" t="s">
        <v>46</v>
      </c>
      <c r="B99" s="24" t="s">
        <v>186</v>
      </c>
      <c r="C99" s="24" t="s">
        <v>81</v>
      </c>
      <c r="D99" s="15" t="n">
        <v>5</v>
      </c>
      <c r="E99" s="24" t="str">
        <f aca="false">IF(D99="","No Data",INDEX('Bid Tiers'!$A$4:$A$7,MATCH(D99,'Bid Tiers'!$B$4:$B$7,1)))</f>
        <v>Tier D — Below Threshold (&lt;5)</v>
      </c>
      <c r="F99" s="25" t="n">
        <f aca="false">IF(D99="",0.3,INDEX('Bid Tiers'!$E$4:$E$7,MATCH(D99,'Bid Tiers'!$B$4:$B$7,1)))</f>
        <v>0.6</v>
      </c>
      <c r="G99" s="14"/>
    </row>
    <row r="100" customFormat="false" ht="15" hidden="false" customHeight="false" outlineLevel="0" collapsed="false">
      <c r="A100" s="23" t="s">
        <v>49</v>
      </c>
      <c r="B100" s="24" t="s">
        <v>187</v>
      </c>
      <c r="C100" s="24" t="s">
        <v>81</v>
      </c>
      <c r="D100" s="15" t="n">
        <v>45</v>
      </c>
      <c r="E100" s="24" t="str">
        <f aca="false">IF(D100="","No Data",INDEX('Bid Tiers'!$A$4:$A$7,MATCH(D100,'Bid Tiers'!$B$4:$B$7,1)))</f>
        <v>Tier A — Head Term</v>
      </c>
      <c r="F100" s="25" t="n">
        <f aca="false">IF(D100="",0.3,INDEX('Bid Tiers'!$E$4:$E$7,MATCH(D100,'Bid Tiers'!$B$4:$B$7,1)))</f>
        <v>3</v>
      </c>
      <c r="G100" s="14"/>
    </row>
    <row r="101" customFormat="false" ht="15" hidden="false" customHeight="false" outlineLevel="0" collapsed="false">
      <c r="A101" s="23" t="s">
        <v>49</v>
      </c>
      <c r="B101" s="24" t="s">
        <v>188</v>
      </c>
      <c r="C101" s="24" t="s">
        <v>81</v>
      </c>
      <c r="D101" s="15" t="n">
        <v>5</v>
      </c>
      <c r="E101" s="24" t="str">
        <f aca="false">IF(D101="","No Data",INDEX('Bid Tiers'!$A$4:$A$7,MATCH(D101,'Bid Tiers'!$B$4:$B$7,1)))</f>
        <v>Tier D — Below Threshold (&lt;5)</v>
      </c>
      <c r="F101" s="25" t="n">
        <f aca="false">IF(D101="",0.3,INDEX('Bid Tiers'!$E$4:$E$7,MATCH(D101,'Bid Tiers'!$B$4:$B$7,1)))</f>
        <v>0.6</v>
      </c>
      <c r="G101" s="14"/>
    </row>
    <row r="102" customFormat="false" ht="15" hidden="false" customHeight="false" outlineLevel="0" collapsed="false">
      <c r="A102" s="23" t="s">
        <v>49</v>
      </c>
      <c r="B102" s="24" t="s">
        <v>189</v>
      </c>
      <c r="C102" s="24" t="s">
        <v>81</v>
      </c>
      <c r="D102" s="15" t="n">
        <v>5</v>
      </c>
      <c r="E102" s="24" t="str">
        <f aca="false">IF(D102="","No Data",INDEX('Bid Tiers'!$A$4:$A$7,MATCH(D102,'Bid Tiers'!$B$4:$B$7,1)))</f>
        <v>Tier D — Below Threshold (&lt;5)</v>
      </c>
      <c r="F102" s="25" t="n">
        <f aca="false">IF(D102="",0.3,INDEX('Bid Tiers'!$E$4:$E$7,MATCH(D102,'Bid Tiers'!$B$4:$B$7,1)))</f>
        <v>0.6</v>
      </c>
      <c r="G102" s="14"/>
    </row>
    <row r="103" customFormat="false" ht="15" hidden="false" customHeight="false" outlineLevel="0" collapsed="false">
      <c r="A103" s="23" t="s">
        <v>49</v>
      </c>
      <c r="B103" s="24" t="s">
        <v>190</v>
      </c>
      <c r="C103" s="24" t="s">
        <v>81</v>
      </c>
      <c r="D103" s="15" t="n">
        <v>5</v>
      </c>
      <c r="E103" s="24" t="str">
        <f aca="false">IF(D103="","No Data",INDEX('Bid Tiers'!$A$4:$A$7,MATCH(D103,'Bid Tiers'!$B$4:$B$7,1)))</f>
        <v>Tier D — Below Threshold (&lt;5)</v>
      </c>
      <c r="F103" s="25" t="n">
        <f aca="false">IF(D103="",0.3,INDEX('Bid Tiers'!$E$4:$E$7,MATCH(D103,'Bid Tiers'!$B$4:$B$7,1)))</f>
        <v>0.6</v>
      </c>
      <c r="G103" s="14"/>
    </row>
    <row r="104" customFormat="false" ht="15" hidden="false" customHeight="false" outlineLevel="0" collapsed="false">
      <c r="A104" s="23" t="s">
        <v>49</v>
      </c>
      <c r="B104" s="24" t="s">
        <v>191</v>
      </c>
      <c r="C104" s="24" t="s">
        <v>81</v>
      </c>
      <c r="D104" s="15" t="n">
        <v>5</v>
      </c>
      <c r="E104" s="24" t="str">
        <f aca="false">IF(D104="","No Data",INDEX('Bid Tiers'!$A$4:$A$7,MATCH(D104,'Bid Tiers'!$B$4:$B$7,1)))</f>
        <v>Tier D — Below Threshold (&lt;5)</v>
      </c>
      <c r="F104" s="25" t="n">
        <f aca="false">IF(D104="",0.3,INDEX('Bid Tiers'!$E$4:$E$7,MATCH(D104,'Bid Tiers'!$B$4:$B$7,1)))</f>
        <v>0.6</v>
      </c>
      <c r="G104" s="14"/>
    </row>
    <row r="105" customFormat="false" ht="15" hidden="false" customHeight="false" outlineLevel="0" collapsed="false">
      <c r="A105" s="23" t="s">
        <v>49</v>
      </c>
      <c r="B105" s="24" t="s">
        <v>192</v>
      </c>
      <c r="C105" s="24" t="s">
        <v>81</v>
      </c>
      <c r="D105" s="15" t="n">
        <v>5</v>
      </c>
      <c r="E105" s="24" t="str">
        <f aca="false">IF(D105="","No Data",INDEX('Bid Tiers'!$A$4:$A$7,MATCH(D105,'Bid Tiers'!$B$4:$B$7,1)))</f>
        <v>Tier D — Below Threshold (&lt;5)</v>
      </c>
      <c r="F105" s="25" t="n">
        <f aca="false">IF(D105="",0.3,INDEX('Bid Tiers'!$E$4:$E$7,MATCH(D105,'Bid Tiers'!$B$4:$B$7,1)))</f>
        <v>0.6</v>
      </c>
      <c r="G105" s="14"/>
    </row>
    <row r="106" customFormat="false" ht="15" hidden="false" customHeight="false" outlineLevel="0" collapsed="false">
      <c r="A106" s="23" t="s">
        <v>49</v>
      </c>
      <c r="B106" s="24" t="s">
        <v>193</v>
      </c>
      <c r="C106" s="24" t="s">
        <v>81</v>
      </c>
      <c r="D106" s="15" t="n">
        <v>5</v>
      </c>
      <c r="E106" s="24" t="str">
        <f aca="false">IF(D106="","No Data",INDEX('Bid Tiers'!$A$4:$A$7,MATCH(D106,'Bid Tiers'!$B$4:$B$7,1)))</f>
        <v>Tier D — Below Threshold (&lt;5)</v>
      </c>
      <c r="F106" s="25" t="n">
        <f aca="false">IF(D106="",0.3,INDEX('Bid Tiers'!$E$4:$E$7,MATCH(D106,'Bid Tiers'!$B$4:$B$7,1)))</f>
        <v>0.6</v>
      </c>
      <c r="G106" s="14"/>
    </row>
    <row r="107" customFormat="false" ht="15" hidden="false" customHeight="false" outlineLevel="0" collapsed="false">
      <c r="A107" s="23" t="s">
        <v>52</v>
      </c>
      <c r="B107" s="24" t="s">
        <v>194</v>
      </c>
      <c r="C107" s="24" t="s">
        <v>81</v>
      </c>
      <c r="D107" s="15" t="n">
        <v>45</v>
      </c>
      <c r="E107" s="24" t="str">
        <f aca="false">IF(D107="","No Data",INDEX('Bid Tiers'!$A$4:$A$7,MATCH(D107,'Bid Tiers'!$B$4:$B$7,1)))</f>
        <v>Tier A — Head Term</v>
      </c>
      <c r="F107" s="25" t="n">
        <f aca="false">IF(D107="",0.3,INDEX('Bid Tiers'!$E$4:$E$7,MATCH(D107,'Bid Tiers'!$B$4:$B$7,1)))</f>
        <v>3</v>
      </c>
      <c r="G107" s="14"/>
    </row>
    <row r="108" customFormat="false" ht="15" hidden="false" customHeight="false" outlineLevel="0" collapsed="false">
      <c r="A108" s="23" t="s">
        <v>52</v>
      </c>
      <c r="B108" s="24" t="s">
        <v>195</v>
      </c>
      <c r="C108" s="24" t="s">
        <v>81</v>
      </c>
      <c r="D108" s="15" t="n">
        <v>45</v>
      </c>
      <c r="E108" s="24" t="str">
        <f aca="false">IF(D108="","No Data",INDEX('Bid Tiers'!$A$4:$A$7,MATCH(D108,'Bid Tiers'!$B$4:$B$7,1)))</f>
        <v>Tier A — Head Term</v>
      </c>
      <c r="F108" s="25" t="n">
        <f aca="false">IF(D108="",0.3,INDEX('Bid Tiers'!$E$4:$E$7,MATCH(D108,'Bid Tiers'!$B$4:$B$7,1)))</f>
        <v>3</v>
      </c>
      <c r="G108" s="14"/>
    </row>
    <row r="109" customFormat="false" ht="15" hidden="false" customHeight="false" outlineLevel="0" collapsed="false">
      <c r="A109" s="23" t="s">
        <v>52</v>
      </c>
      <c r="B109" s="24" t="s">
        <v>196</v>
      </c>
      <c r="C109" s="24" t="s">
        <v>81</v>
      </c>
      <c r="D109" s="15" t="n">
        <v>5</v>
      </c>
      <c r="E109" s="24" t="str">
        <f aca="false">IF(D109="","No Data",INDEX('Bid Tiers'!$A$4:$A$7,MATCH(D109,'Bid Tiers'!$B$4:$B$7,1)))</f>
        <v>Tier D — Below Threshold (&lt;5)</v>
      </c>
      <c r="F109" s="25" t="n">
        <f aca="false">IF(D109="",0.3,INDEX('Bid Tiers'!$E$4:$E$7,MATCH(D109,'Bid Tiers'!$B$4:$B$7,1)))</f>
        <v>0.6</v>
      </c>
      <c r="G109" s="14"/>
    </row>
  </sheetData>
  <autoFilter ref="A3:G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2026-09-14T06:42:54Z</dcterms:created>
  <dc:creator>openpyxl</dc:creator>
  <dc:description/>
  <dc:language>en-US</dc:language>
  <cp:lastModifiedBy/>
  <dcterms:modified xsi:type="dcterms:W3CDTF">2026-09-14T06:42:54Z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