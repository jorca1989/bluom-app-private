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mpaign Plan" sheetId="2" state="visible" r:id="rId4"/>
    <sheet name="Bid Tiers (Popularity Score)" sheetId="3" state="visible" r:id="rId5"/>
    <sheet name="Bid Tiers (Relative Volume)" sheetId="4" state="visible" r:id="rId6"/>
    <sheet name="Germany" sheetId="5" state="visible" r:id="rId7"/>
    <sheet name="Netherlands" sheetId="6" state="visible" r:id="rId8"/>
    <sheet name="Spain" sheetId="7" state="visible" r:id="rId9"/>
    <sheet name="France" sheetId="8" state="visible" r:id="rId10"/>
    <sheet name="Austria" sheetId="9" state="visible" r:id="rId11"/>
    <sheet name="Belgium" sheetId="10" state="visible" r:id="rId12"/>
    <sheet name="Denmark" sheetId="11" state="visible" r:id="rId13"/>
    <sheet name="Italy" sheetId="12" state="visible" r:id="rId14"/>
    <sheet name="Norway" sheetId="13" state="visible" r:id="rId15"/>
    <sheet name="Sweden" sheetId="14" state="visible" r:id="rId16"/>
    <sheet name="Switzerland" sheetId="15" state="visible" r:id="rId17"/>
  </sheets>
  <definedNames>
    <definedName function="false" hidden="true" localSheetId="8" name="_xlnm._FilterDatabase" vbProcedure="false">Austria!$A$3:$G$64</definedName>
    <definedName function="false" hidden="true" localSheetId="9" name="_xlnm._FilterDatabase" vbProcedure="false">Belgium!$A$3:$G$53</definedName>
    <definedName function="false" hidden="true" localSheetId="10" name="_xlnm._FilterDatabase" vbProcedure="false">Denmark!$A$3:$G$39</definedName>
    <definedName function="false" hidden="true" localSheetId="7" name="_xlnm._FilterDatabase" vbProcedure="false">France!$A$3:$G$39</definedName>
    <definedName function="false" hidden="true" localSheetId="4" name="_xlnm._FilterDatabase" vbProcedure="false">Germany!$A$3:$G$56</definedName>
    <definedName function="false" hidden="true" localSheetId="11" name="_xlnm._FilterDatabase" vbProcedure="false">Italy!$A$3:$G$39</definedName>
    <definedName function="false" hidden="true" localSheetId="5" name="_xlnm._FilterDatabase" vbProcedure="false">Netherlands!$A$3:$G$59</definedName>
    <definedName function="false" hidden="true" localSheetId="12" name="_xlnm._FilterDatabase" vbProcedure="false">Norway!$A$3:$G$39</definedName>
    <definedName function="false" hidden="true" localSheetId="6" name="_xlnm._FilterDatabase" vbProcedure="false">Spain!$A$3:$G$39</definedName>
    <definedName function="false" hidden="true" localSheetId="13" name="_xlnm._FilterDatabase" vbProcedure="false">Sweden!$A$3:$G$39</definedName>
    <definedName function="false" hidden="true" localSheetId="14" name="_xlnm._FilterDatabase" vbProcedure="false">Switzerland!$A$3:$G$97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<sst xmlns="http://schemas.openxmlformats.org/spreadsheetml/2006/main" count="1961" uniqueCount="401">
  <si>
    <t xml:space="preserve">Bluom — Apple Search Ads Campaign Drafts (Europe)</t>
  </si>
  <si>
    <t xml:space="preserve">Germany, Netherlands, Spain, France, Austria, Belgium, Denmark, Italy, Norway, Sweden, Switzerland — built from the 'ASO Clean + New Markets (Sep 5)' tab of your Keywords Google Sheet</t>
  </si>
  <si>
    <t xml:space="preserve">What this is</t>
  </si>
  <si>
    <t xml:space="preserve">Companion workbook to Bluom_Apple_Search_Ads_Drafts.xlsx (USA/UK/Canada). Same ad-group structure — Brand, Discovery, AI Coach &amp; Scanner, Fuel (Nutrition), Move (Fitness), Plans (Habits), Wellness (Mind &amp; Sleep), Women's Health, Fasting &amp; Metabolic, Tools (Calculators) — applied to 11 more markets, each keyword translated/classified into the matching group. Tabs are ordered Germany, Netherlands, Spain, France first (as requested), then the remaining seven markets.</t>
  </si>
  <si>
    <t xml:space="preserve">IMPORTANT — two different data sources, two different tiering methods</t>
  </si>
  <si>
    <t xml:space="preserve">Your sheet does NOT have the same Apple Search Ads popularity score (0-100) for every market. Only Austria, Belgium, and Switzerland have it (column 'Search Ads (Apple, ASOMobile)'). For those three, tiering works exactly like the USA/UK/Canada workbook — see the 'Bid Tiers (Popularity Score)' tab.</t>
  </si>
  <si>
    <t xml:space="preserve">Germany and Netherlands have Apple's own 'Apple Volume' figure but NOT the 0-100 popularity score, so those two tabs rank keywords by Apple Volume instead — a real Apple-sourced number, just a different scale, so it can't share the same fixed thresholds as the score-based markets.</t>
  </si>
  <si>
    <t xml:space="preserve">Denmark, France, Italy, Norway, Spain, and Sweden have neither — only a single combined Google/Semrush search-volume figure. Those six tabs rank keywords by that volume. It is NOT Apple-specific, just the best available signal for those markets in your sheet.</t>
  </si>
  <si>
    <t xml:space="preserve">Because Apple Volume and Semrush Volume are raw counts that vary wildly by market size (Germany's numbers are nothing like Norway's), those 8 tabs use RELATIVE tiers computed from each tab's own data — Tier A is roughly the top 15% of that market's own keyword list, not an absolute score. See the 'Bid Tiers (Relative Volume)' tab. Tier labels are named differently on purpose ('Top 15%' vs 'Head Term') so the two systems are never confused.</t>
  </si>
  <si>
    <t xml:space="preserve">Translation &amp; classification</t>
  </si>
  <si>
    <t xml:space="preserve">Each non-English keyword was translated and placed into the ad group matching its meaning (e.g. 'kalorienzähler' / German for calorie counter → Fuel; 'coach' / French for coach → AI Coach &amp; Scanner; 'søvn' / Danish for sleep → Wellness). A handful of keywords are flagged in the Notes column where the source data itself looked like a typo or mistranslation from the ASO tool (e.g. 'Ausbildung' in German usually means 'apprenticeship', not 'training') — kept verbatim since that may be literally what people searched.</t>
  </si>
  <si>
    <t xml:space="preserve">A few keywords repeated within one country's own export (duplicates) were kept once, not twice.</t>
  </si>
  <si>
    <t xml:space="preserve">How to use it</t>
  </si>
  <si>
    <t xml:space="preserve">Same as the USA/UK/Canada workbook: review each country tab, edit yellow cells on the Bid Tiers sheets to change CPT ranges (everything recalculates), then build the campaigns by hand in Apple Search Ads Campaign Manager — Apple does not support bulk CSV import for Advanced campaigns.</t>
  </si>
  <si>
    <t xml:space="preserve">Suggested Max CPT ranges here lean lower than the US/UK/Canada workbook, reflecting generally lower CPCs observed across these markets in your Semrush data — still estimates, not Apple auction data. Start low.</t>
  </si>
  <si>
    <t xml:space="preserve">Campaign Plan — same ad-group structure as USA/UK/Canada, applied per market</t>
  </si>
  <si>
    <t xml:space="preserve">One Advanced campaign per country, each containing these ad groups:</t>
  </si>
  <si>
    <t xml:space="preserve">Ad Group</t>
  </si>
  <si>
    <t xml:space="preserve">Purpose</t>
  </si>
  <si>
    <t xml:space="preserve">Search Match</t>
  </si>
  <si>
    <t xml:space="preserve">Notes</t>
  </si>
  <si>
    <t xml:space="preserve">Brand</t>
  </si>
  <si>
    <t xml:space="preserve">Protects 'bluom' / 'bluom app' / 'bluom health os' from competitors bidding on your own name.</t>
  </si>
  <si>
    <t xml:space="preserve">Off</t>
  </si>
  <si>
    <t xml:space="preserve">Same brand terms across every market — localize only if you register market-specific taglines.</t>
  </si>
  <si>
    <t xml:space="preserve">Discovery</t>
  </si>
  <si>
    <t xml:space="preserve">Search Match ON, zero explicit keywords.</t>
  </si>
  <si>
    <t xml:space="preserve">On</t>
  </si>
  <si>
    <t xml:space="preserve">Especially valuable in these markets since keyword research here is thinner than USA/UK/Canada — let Apple surface real local search terms.</t>
  </si>
  <si>
    <t xml:space="preserve">AI Coach &amp; Scanner</t>
  </si>
  <si>
    <t xml:space="preserve">Coach/coaching concept + AI scanning differentiator.</t>
  </si>
  <si>
    <t xml:space="preserve">Highest strategic priority even at low volume.</t>
  </si>
  <si>
    <t xml:space="preserve">Fuel (Nutrition)</t>
  </si>
  <si>
    <t xml:space="preserve">Food, diet, macro, calorie, weight, grocery-list terms.</t>
  </si>
  <si>
    <t xml:space="preserve">Largest group in every market by keyword count.</t>
  </si>
  <si>
    <t xml:space="preserve">Move (Fitness)</t>
  </si>
  <si>
    <t xml:space="preserve">Workouts, gym, running, cycling, training-plan terms.</t>
  </si>
  <si>
    <t xml:space="preserve">Broad category, generally the highest absolute search volume per market.</t>
  </si>
  <si>
    <t xml:space="preserve">Plans (Habits)</t>
  </si>
  <si>
    <t xml:space="preserve">Habit building and the generic 'tracker' term.</t>
  </si>
  <si>
    <t xml:space="preserve">'tracker' alone is very generic — consider dropping or tight negatives, same caution as USA/UK/Canada.</t>
  </si>
  <si>
    <t xml:space="preserve">Wellness (Mind &amp; Sleep)</t>
  </si>
  <si>
    <t xml:space="preserve">Sleep, meditation, brain games, mood, hydration, general 'health' terms.</t>
  </si>
  <si>
    <t xml:space="preserve">Broadest group by keyword count in most markets.</t>
  </si>
  <si>
    <t xml:space="preserve">Women's Health</t>
  </si>
  <si>
    <t xml:space="preserve">Period, cycle, menstruation terms.</t>
  </si>
  <si>
    <t xml:space="preserve">Thin in most of these markets' keyword data — a Discovery-led opportunity.</t>
  </si>
  <si>
    <t xml:space="preserve">Fasting &amp; Metabolic</t>
  </si>
  <si>
    <t xml:space="preserve">Fasting terms.</t>
  </si>
  <si>
    <t xml:space="preserve">Small in these markets compared to USA/UK/Canada — matches your Fasting blog content pillar regardless.</t>
  </si>
  <si>
    <t xml:space="preserve">Tools (Calculators)</t>
  </si>
  <si>
    <t xml:space="preserve">BMI calculator (only present in the Netherlands data).</t>
  </si>
  <si>
    <t xml:space="preserve">Very thin here — most markets have no calculator-intent keywords in your export at all.</t>
  </si>
  <si>
    <t xml:space="preserve">Data gaps to flag for Jorge:</t>
  </si>
  <si>
    <t xml:space="preserve">• No Apple popularity score for DE/NL/FR/ES/IT/NO/SE/DK — only AT/BE/CH have it. See Read Me.</t>
  </si>
  <si>
    <t xml:space="preserve">• Tools (Calculators) group is nearly empty outside the Netherlands — your keyword research for these markets doesn't cover calculator-intent terms the way USA/UK/Canada does.</t>
  </si>
  <si>
    <t xml:space="preserve">• Women's Health and Fasting &amp; Metabolic are thin across most of these markets — worth a dedicated keyword research pass if you want to run those ad groups seriously here.</t>
  </si>
  <si>
    <t xml:space="preserve">Bid Tiers — Austria, Belgium, Switzerland (these three have Apple's 0-100 popularity score)</t>
  </si>
  <si>
    <t xml:space="preserve">Tier</t>
  </si>
  <si>
    <t xml:space="preserve">Min Score</t>
  </si>
  <si>
    <t xml:space="preserve">Max Score</t>
  </si>
  <si>
    <t xml:space="preserve">Sugg. Min CPT ($)</t>
  </si>
  <si>
    <t xml:space="preserve">Sugg. Max CPT ($)</t>
  </si>
  <si>
    <t xml:space="preserve">Description</t>
  </si>
  <si>
    <t xml:space="preserve">Tier D — Below Threshold (&lt;5)</t>
  </si>
  <si>
    <t xml:space="preserve">Apple's own '&lt;5' floor value.</t>
  </si>
  <si>
    <t xml:space="preserve">Tier C — Long-Tail</t>
  </si>
  <si>
    <t xml:space="preserve">Real but low popularity.</t>
  </si>
  <si>
    <t xml:space="preserve">Tier B — Mid Volume</t>
  </si>
  <si>
    <t xml:space="preserve">Moderate competition.</t>
  </si>
  <si>
    <t xml:space="preserve">Tier A — Head Term</t>
  </si>
  <si>
    <t xml:space="preserve">Highest popularity in-market.</t>
  </si>
  <si>
    <t xml:space="preserve">Bid Tiers — Germany, Netherlands, Denmark, France, Italy, Norway, Spain, Sweden</t>
  </si>
  <si>
    <t xml:space="preserve">These markets have no Apple popularity score, so each country tab ranks its OWN keywords into relative tiers (Top 15% / next 25% / next 30% / bottom 30%) using that tab's own volume column — a different keyword list in Germany won't share thresholds with Norway's.</t>
  </si>
  <si>
    <t xml:space="preserve">Tier D (Bottom 30%)</t>
  </si>
  <si>
    <t xml:space="preserve">Lowest relative volume in this market's own list, including zero/no-data terms.</t>
  </si>
  <si>
    <t xml:space="preserve">Tier C (Top 70%)</t>
  </si>
  <si>
    <t xml:space="preserve">Below-median but real volume.</t>
  </si>
  <si>
    <t xml:space="preserve">Tier B (Top 40%)</t>
  </si>
  <si>
    <t xml:space="preserve">Above-median volume for this market.</t>
  </si>
  <si>
    <t xml:space="preserve">Tier A (Top 15%)</t>
  </si>
  <si>
    <t xml:space="preserve">This market's own highest-volume terms.</t>
  </si>
  <si>
    <t xml:space="preserve">No Data</t>
  </si>
  <si>
    <t xml:space="preserve">No volume reported for this keyword in this market.</t>
  </si>
  <si>
    <t xml:space="preserve">Bluom — Apple Search Ads — Germany</t>
  </si>
  <si>
    <t xml:space="preserve">Thresholds (from this tab's own data):</t>
  </si>
  <si>
    <t xml:space="preserve">Ranked by Apple's own volume figure, relative to other keywords in this market (see Bid Tiers (Relative Volume)).</t>
  </si>
  <si>
    <t xml:space="preserve">P85</t>
  </si>
  <si>
    <t xml:space="preserve">Keyword</t>
  </si>
  <si>
    <t xml:space="preserve">Match Type</t>
  </si>
  <si>
    <t xml:space="preserve">Apple Volume (relative)</t>
  </si>
  <si>
    <t xml:space="preserve">Suggested Max CPT ($)</t>
  </si>
  <si>
    <t xml:space="preserve">P60</t>
  </si>
  <si>
    <t xml:space="preserve">bluom</t>
  </si>
  <si>
    <t xml:space="preserve">Exact</t>
  </si>
  <si>
    <t xml:space="preserve">—</t>
  </si>
  <si>
    <t xml:space="preserve">Defensive brand term.</t>
  </si>
  <si>
    <t xml:space="preserve">P30</t>
  </si>
  <si>
    <t xml:space="preserve">bluom app</t>
  </si>
  <si>
    <t xml:space="preserve">bluom health os</t>
  </si>
  <si>
    <t xml:space="preserve">Defensive brand term — matches your new positioning line.</t>
  </si>
  <si>
    <t xml:space="preserve">[Search Match ON — no explicit keywords]</t>
  </si>
  <si>
    <t xml:space="preserve">Especially useful here — let Apple surface real local search terms this thinner keyword list might be missing.</t>
  </si>
  <si>
    <t xml:space="preserve">weight tracker</t>
  </si>
  <si>
    <t xml:space="preserve">Kochen</t>
  </si>
  <si>
    <t xml:space="preserve">kalorien</t>
  </si>
  <si>
    <t xml:space="preserve">ernährung</t>
  </si>
  <si>
    <t xml:space="preserve">macro</t>
  </si>
  <si>
    <t xml:space="preserve">gewicht</t>
  </si>
  <si>
    <t xml:space="preserve">diät</t>
  </si>
  <si>
    <t xml:space="preserve">kalorientracker</t>
  </si>
  <si>
    <t xml:space="preserve">diet</t>
  </si>
  <si>
    <t xml:space="preserve">macro tracker</t>
  </si>
  <si>
    <t xml:space="preserve">macros</t>
  </si>
  <si>
    <t xml:space="preserve">weight loss</t>
  </si>
  <si>
    <t xml:space="preserve">weight</t>
  </si>
  <si>
    <t xml:space="preserve">makro tracker</t>
  </si>
  <si>
    <t xml:space="preserve">workout</t>
  </si>
  <si>
    <t xml:space="preserve">sport</t>
  </si>
  <si>
    <t xml:space="preserve">gym</t>
  </si>
  <si>
    <t xml:space="preserve">training</t>
  </si>
  <si>
    <t xml:space="preserve">run</t>
  </si>
  <si>
    <t xml:space="preserve">workout timer</t>
  </si>
  <si>
    <t xml:space="preserve">step counter</t>
  </si>
  <si>
    <t xml:space="preserve">muskeln</t>
  </si>
  <si>
    <t xml:space="preserve">Ausbildung</t>
  </si>
  <si>
    <t xml:space="preserve">German for 'training/apprenticeship' — likely a mistranslation or loose ASO-tool match for 'training', kept as-is from your export.</t>
  </si>
  <si>
    <t xml:space="preserve">laufen</t>
  </si>
  <si>
    <t xml:space="preserve">Wochenplaner</t>
  </si>
  <si>
    <t xml:space="preserve">exercise</t>
  </si>
  <si>
    <t xml:space="preserve">exercises</t>
  </si>
  <si>
    <t xml:space="preserve">tracker</t>
  </si>
  <si>
    <t xml:space="preserve">habit</t>
  </si>
  <si>
    <t xml:space="preserve">habit tracker</t>
  </si>
  <si>
    <t xml:space="preserve">Gewohnheitstracker</t>
  </si>
  <si>
    <t xml:space="preserve">Gewohnheiten</t>
  </si>
  <si>
    <t xml:space="preserve">gewohnheit</t>
  </si>
  <si>
    <t xml:space="preserve">health</t>
  </si>
  <si>
    <t xml:space="preserve">sleep</t>
  </si>
  <si>
    <t xml:space="preserve">Meditation</t>
  </si>
  <si>
    <t xml:space="preserve">gesundheit</t>
  </si>
  <si>
    <t xml:space="preserve">schlaf</t>
  </si>
  <si>
    <t xml:space="preserve">brain games</t>
  </si>
  <si>
    <t xml:space="preserve">wasser</t>
  </si>
  <si>
    <t xml:space="preserve">Wassertracker</t>
  </si>
  <si>
    <t xml:space="preserve">stimmung</t>
  </si>
  <si>
    <t xml:space="preserve">periode</t>
  </si>
  <si>
    <t xml:space="preserve">period</t>
  </si>
  <si>
    <t xml:space="preserve">frauen</t>
  </si>
  <si>
    <t xml:space="preserve">cycle</t>
  </si>
  <si>
    <t xml:space="preserve">Ambiguous standalone term — classified as Women's Health (menstrual cycle) since period/menstruation terms appear alongside it in this market; could also mean 'sleep cycle' in some contexts.</t>
  </si>
  <si>
    <t xml:space="preserve">women</t>
  </si>
  <si>
    <t xml:space="preserve">fasting</t>
  </si>
  <si>
    <t xml:space="preserve">fasten</t>
  </si>
  <si>
    <t xml:space="preserve">Bluom — Apple Search Ads — Netherlands</t>
  </si>
  <si>
    <t xml:space="preserve">coach</t>
  </si>
  <si>
    <t xml:space="preserve">calorieënteller</t>
  </si>
  <si>
    <t xml:space="preserve">koken</t>
  </si>
  <si>
    <t xml:space="preserve">boodschappenlijstje</t>
  </si>
  <si>
    <t xml:space="preserve">calorie</t>
  </si>
  <si>
    <t xml:space="preserve">voeding</t>
  </si>
  <si>
    <t xml:space="preserve">maaltijd</t>
  </si>
  <si>
    <t xml:space="preserve">nutrition</t>
  </si>
  <si>
    <t xml:space="preserve">Gewichtsdagboek</t>
  </si>
  <si>
    <t xml:space="preserve">Gewichtsmonitor</t>
  </si>
  <si>
    <t xml:space="preserve">Stappenteller</t>
  </si>
  <si>
    <t xml:space="preserve">fitness</t>
  </si>
  <si>
    <t xml:space="preserve">wielrennen</t>
  </si>
  <si>
    <t xml:space="preserve">Wandelen</t>
  </si>
  <si>
    <t xml:space="preserve">fietsen</t>
  </si>
  <si>
    <t xml:space="preserve">sportschool</t>
  </si>
  <si>
    <t xml:space="preserve">gewoonte</t>
  </si>
  <si>
    <t xml:space="preserve">gewoontes</t>
  </si>
  <si>
    <t xml:space="preserve">sleep cycle</t>
  </si>
  <si>
    <t xml:space="preserve">sleep recorder</t>
  </si>
  <si>
    <t xml:space="preserve">focus</t>
  </si>
  <si>
    <t xml:space="preserve">water</t>
  </si>
  <si>
    <t xml:space="preserve">brain</t>
  </si>
  <si>
    <t xml:space="preserve">meditation</t>
  </si>
  <si>
    <t xml:space="preserve">mood</t>
  </si>
  <si>
    <t xml:space="preserve">meditatie</t>
  </si>
  <si>
    <t xml:space="preserve">stemming</t>
  </si>
  <si>
    <t xml:space="preserve">menstruatie</t>
  </si>
  <si>
    <t xml:space="preserve">vasten</t>
  </si>
  <si>
    <t xml:space="preserve">bmi calculator</t>
  </si>
  <si>
    <t xml:space="preserve">bmi</t>
  </si>
  <si>
    <t xml:space="preserve">Bluom — Apple Search Ads — Spain</t>
  </si>
  <si>
    <t xml:space="preserve">No Apple-specific data for this market — ranked by combined Google/Semrush search volume, relative to other keywords in this market (see Bid Tiers (Relative Volume)).</t>
  </si>
  <si>
    <t xml:space="preserve">Search Volume (relative)</t>
  </si>
  <si>
    <t xml:space="preserve">entrenador</t>
  </si>
  <si>
    <t xml:space="preserve">coaching</t>
  </si>
  <si>
    <t xml:space="preserve">dieta</t>
  </si>
  <si>
    <t xml:space="preserve">peso</t>
  </si>
  <si>
    <t xml:space="preserve">calorías</t>
  </si>
  <si>
    <t xml:space="preserve">contador de calorías</t>
  </si>
  <si>
    <t xml:space="preserve">caloría</t>
  </si>
  <si>
    <t xml:space="preserve">lista de compras</t>
  </si>
  <si>
    <t xml:space="preserve">seguimiento de peso</t>
  </si>
  <si>
    <t xml:space="preserve">seguimiento de macros</t>
  </si>
  <si>
    <t xml:space="preserve">deporte</t>
  </si>
  <si>
    <t xml:space="preserve">entrenamiento</t>
  </si>
  <si>
    <t xml:space="preserve">podómetro</t>
  </si>
  <si>
    <t xml:space="preserve">plan de entrenamiento</t>
  </si>
  <si>
    <t xml:space="preserve">temporizador de entrenamiento</t>
  </si>
  <si>
    <t xml:space="preserve">seguimiento de entrenamientos</t>
  </si>
  <si>
    <t xml:space="preserve">seguimiento de carrera</t>
  </si>
  <si>
    <t xml:space="preserve">seguimiento de ciclismo</t>
  </si>
  <si>
    <t xml:space="preserve">hábito</t>
  </si>
  <si>
    <t xml:space="preserve">seguidor de hábitos</t>
  </si>
  <si>
    <t xml:space="preserve">salud mental</t>
  </si>
  <si>
    <t xml:space="preserve">meditación</t>
  </si>
  <si>
    <t xml:space="preserve">juegos mentales</t>
  </si>
  <si>
    <t xml:space="preserve">sueño</t>
  </si>
  <si>
    <t xml:space="preserve">control de agua</t>
  </si>
  <si>
    <t xml:space="preserve">app de salud</t>
  </si>
  <si>
    <t xml:space="preserve">ciclo de sueño</t>
  </si>
  <si>
    <t xml:space="preserve">monitor de sueño</t>
  </si>
  <si>
    <t xml:space="preserve">seguimiento del estado de ánimo</t>
  </si>
  <si>
    <t xml:space="preserve">seguimiento del periodo</t>
  </si>
  <si>
    <t xml:space="preserve">Bluom — Apple Search Ads — France</t>
  </si>
  <si>
    <t xml:space="preserve">poids</t>
  </si>
  <si>
    <t xml:space="preserve">liste de courses</t>
  </si>
  <si>
    <t xml:space="preserve">régime</t>
  </si>
  <si>
    <t xml:space="preserve">calories</t>
  </si>
  <si>
    <t xml:space="preserve">compteur de calories</t>
  </si>
  <si>
    <t xml:space="preserve">suivi du poids</t>
  </si>
  <si>
    <t xml:space="preserve">suivi des macros</t>
  </si>
  <si>
    <t xml:space="preserve">podomètre</t>
  </si>
  <si>
    <t xml:space="preserve">entraînement</t>
  </si>
  <si>
    <t xml:space="preserve">plan d'entraînement</t>
  </si>
  <si>
    <t xml:space="preserve">minuteur d'entraînement</t>
  </si>
  <si>
    <t xml:space="preserve">suivi d'entraînement</t>
  </si>
  <si>
    <t xml:space="preserve">suivi de course</t>
  </si>
  <si>
    <t xml:space="preserve">suivi cyclisme</t>
  </si>
  <si>
    <t xml:space="preserve">habitude</t>
  </si>
  <si>
    <t xml:space="preserve">suivi des habitudes</t>
  </si>
  <si>
    <t xml:space="preserve">sommeil</t>
  </si>
  <si>
    <t xml:space="preserve">méditation</t>
  </si>
  <si>
    <t xml:space="preserve">cycle de sommeil</t>
  </si>
  <si>
    <t xml:space="preserve">santé mentale</t>
  </si>
  <si>
    <t xml:space="preserve">application santé</t>
  </si>
  <si>
    <t xml:space="preserve">suivi du sommeil</t>
  </si>
  <si>
    <t xml:space="preserve">jeux cérébraux</t>
  </si>
  <si>
    <t xml:space="preserve">suivi de l'eau</t>
  </si>
  <si>
    <t xml:space="preserve">suivi de l'humeur</t>
  </si>
  <si>
    <t xml:space="preserve">suivi des règles</t>
  </si>
  <si>
    <t xml:space="preserve">Bluom — Apple Search Ads — Austria</t>
  </si>
  <si>
    <t xml:space="preserve">Ranked by Apple's 0-100 popularity score (same method as USA/UK/Canada).</t>
  </si>
  <si>
    <t xml:space="preserve">Popularity Score</t>
  </si>
  <si>
    <t xml:space="preserve">kalorienzähler</t>
  </si>
  <si>
    <t xml:space="preserve">kalorienzähler gratis</t>
  </si>
  <si>
    <t xml:space="preserve">gewichtskontrolle</t>
  </si>
  <si>
    <t xml:space="preserve">makro</t>
  </si>
  <si>
    <t xml:space="preserve">Kalorientracker</t>
  </si>
  <si>
    <t xml:space="preserve">trainingsplan</t>
  </si>
  <si>
    <t xml:space="preserve">trainingsplan erstellen</t>
  </si>
  <si>
    <t xml:space="preserve">schlaftracker</t>
  </si>
  <si>
    <t xml:space="preserve">Bluom — Apple Search Ads — Belgium</t>
  </si>
  <si>
    <t xml:space="preserve">dieet gratis</t>
  </si>
  <si>
    <t xml:space="preserve">eten</t>
  </si>
  <si>
    <t xml:space="preserve">dieet</t>
  </si>
  <si>
    <t xml:space="preserve">calculateur</t>
  </si>
  <si>
    <t xml:space="preserve">calorie et régime</t>
  </si>
  <si>
    <t xml:space="preserve">compte calories</t>
  </si>
  <si>
    <t xml:space="preserve">compte-calories</t>
  </si>
  <si>
    <t xml:space="preserve">courir</t>
  </si>
  <si>
    <t xml:space="preserve">hardlopen</t>
  </si>
  <si>
    <t xml:space="preserve">sante</t>
  </si>
  <si>
    <t xml:space="preserve">cerveau</t>
  </si>
  <si>
    <t xml:space="preserve">bien être</t>
  </si>
  <si>
    <t xml:space="preserve">bienêtre</t>
  </si>
  <si>
    <t xml:space="preserve">Bluom — Apple Search Ads — Denmark</t>
  </si>
  <si>
    <t xml:space="preserve">vægt</t>
  </si>
  <si>
    <t xml:space="preserve">kost</t>
  </si>
  <si>
    <t xml:space="preserve">kalorier</t>
  </si>
  <si>
    <t xml:space="preserve">kalorietæller</t>
  </si>
  <si>
    <t xml:space="preserve">indkøbsliste</t>
  </si>
  <si>
    <t xml:space="preserve">kalorie</t>
  </si>
  <si>
    <t xml:space="preserve">makrotracker</t>
  </si>
  <si>
    <t xml:space="preserve">vægttracker</t>
  </si>
  <si>
    <t xml:space="preserve">skridttæller</t>
  </si>
  <si>
    <t xml:space="preserve">træning</t>
  </si>
  <si>
    <t xml:space="preserve">kondition</t>
  </si>
  <si>
    <t xml:space="preserve">træningsplan</t>
  </si>
  <si>
    <t xml:space="preserve">løbetracker</t>
  </si>
  <si>
    <t xml:space="preserve">cykeltracker</t>
  </si>
  <si>
    <t xml:space="preserve">træningstimer</t>
  </si>
  <si>
    <t xml:space="preserve">træningstracker</t>
  </si>
  <si>
    <t xml:space="preserve">vane</t>
  </si>
  <si>
    <t xml:space="preserve">vanetracker</t>
  </si>
  <si>
    <t xml:space="preserve">søvn</t>
  </si>
  <si>
    <t xml:space="preserve">mental sundhed</t>
  </si>
  <si>
    <t xml:space="preserve">søvncyklus</t>
  </si>
  <si>
    <t xml:space="preserve">hjernespil</t>
  </si>
  <si>
    <t xml:space="preserve">sundhedsapp</t>
  </si>
  <si>
    <t xml:space="preserve">søvnsporing</t>
  </si>
  <si>
    <t xml:space="preserve">vandtracker</t>
  </si>
  <si>
    <t xml:space="preserve">humørtracker</t>
  </si>
  <si>
    <t xml:space="preserve">menstruationstracker</t>
  </si>
  <si>
    <t xml:space="preserve">Bluom — Apple Search Ads — Italy</t>
  </si>
  <si>
    <t xml:space="preserve">lista della spesa</t>
  </si>
  <si>
    <t xml:space="preserve">caloria</t>
  </si>
  <si>
    <t xml:space="preserve">contatore calorie</t>
  </si>
  <si>
    <t xml:space="preserve">tracker peso</t>
  </si>
  <si>
    <t xml:space="preserve">tracker macro</t>
  </si>
  <si>
    <t xml:space="preserve">contapassi</t>
  </si>
  <si>
    <t xml:space="preserve">allenamento</t>
  </si>
  <si>
    <t xml:space="preserve">piano di allenamento</t>
  </si>
  <si>
    <t xml:space="preserve">timer allenamento</t>
  </si>
  <si>
    <t xml:space="preserve">tracker corsa</t>
  </si>
  <si>
    <t xml:space="preserve">tracker allenamento</t>
  </si>
  <si>
    <t xml:space="preserve">tracker ciclismo</t>
  </si>
  <si>
    <t xml:space="preserve">abitudine</t>
  </si>
  <si>
    <t xml:space="preserve">tracker abitudini</t>
  </si>
  <si>
    <t xml:space="preserve">sonno</t>
  </si>
  <si>
    <t xml:space="preserve">meditazione</t>
  </si>
  <si>
    <t xml:space="preserve">salute mentale</t>
  </si>
  <si>
    <t xml:space="preserve">ciclo del sonno</t>
  </si>
  <si>
    <t xml:space="preserve">app salute</t>
  </si>
  <si>
    <t xml:space="preserve">tracker del sonno</t>
  </si>
  <si>
    <t xml:space="preserve">giochi cerebrali</t>
  </si>
  <si>
    <t xml:space="preserve">tracker acqua</t>
  </si>
  <si>
    <t xml:space="preserve">tracker umore</t>
  </si>
  <si>
    <t xml:space="preserve">tracker ciclo mestruale</t>
  </si>
  <si>
    <t xml:space="preserve">Bluom — Apple Search Ads — Norway</t>
  </si>
  <si>
    <t xml:space="preserve">vekt</t>
  </si>
  <si>
    <t xml:space="preserve">diett</t>
  </si>
  <si>
    <t xml:space="preserve">handleliste</t>
  </si>
  <si>
    <t xml:space="preserve">kalori</t>
  </si>
  <si>
    <t xml:space="preserve">kaloriteller</t>
  </si>
  <si>
    <t xml:space="preserve">makrosporer</t>
  </si>
  <si>
    <t xml:space="preserve">vektsporer</t>
  </si>
  <si>
    <t xml:space="preserve">trening</t>
  </si>
  <si>
    <t xml:space="preserve">skritteller</t>
  </si>
  <si>
    <t xml:space="preserve">kondisjon</t>
  </si>
  <si>
    <t xml:space="preserve">treningsplan</t>
  </si>
  <si>
    <t xml:space="preserve">treningstimer</t>
  </si>
  <si>
    <t xml:space="preserve">treningssporer</t>
  </si>
  <si>
    <t xml:space="preserve">løpesporer</t>
  </si>
  <si>
    <t xml:space="preserve">sykkelsporing</t>
  </si>
  <si>
    <t xml:space="preserve">vanesporer</t>
  </si>
  <si>
    <t xml:space="preserve">mental helse</t>
  </si>
  <si>
    <t xml:space="preserve">meditasjon</t>
  </si>
  <si>
    <t xml:space="preserve">søvnsyklus</t>
  </si>
  <si>
    <t xml:space="preserve">helseapp</t>
  </si>
  <si>
    <t xml:space="preserve">hjernespill</t>
  </si>
  <si>
    <t xml:space="preserve">søvnsporer</t>
  </si>
  <si>
    <t xml:space="preserve">vannsporer</t>
  </si>
  <si>
    <t xml:space="preserve">humørsporer</t>
  </si>
  <si>
    <t xml:space="preserve">menssyklussporer</t>
  </si>
  <si>
    <t xml:space="preserve">Bluom — Apple Search Ads — Sweden</t>
  </si>
  <si>
    <t xml:space="preserve">vikt</t>
  </si>
  <si>
    <t xml:space="preserve">inköpslista</t>
  </si>
  <si>
    <t xml:space="preserve">kalorräknare</t>
  </si>
  <si>
    <t xml:space="preserve">makrospårare</t>
  </si>
  <si>
    <t xml:space="preserve">viktspårare</t>
  </si>
  <si>
    <t xml:space="preserve">stegräknare</t>
  </si>
  <si>
    <t xml:space="preserve">träning</t>
  </si>
  <si>
    <t xml:space="preserve">träningsplan</t>
  </si>
  <si>
    <t xml:space="preserve">träningstimer</t>
  </si>
  <si>
    <t xml:space="preserve">träningsspårare</t>
  </si>
  <si>
    <t xml:space="preserve">löparspårare</t>
  </si>
  <si>
    <t xml:space="preserve">cykelspårare</t>
  </si>
  <si>
    <t xml:space="preserve">vana</t>
  </si>
  <si>
    <t xml:space="preserve">vanespårare</t>
  </si>
  <si>
    <t xml:space="preserve">sömn</t>
  </si>
  <si>
    <t xml:space="preserve">sömncykel</t>
  </si>
  <si>
    <t xml:space="preserve">mental hälsa</t>
  </si>
  <si>
    <t xml:space="preserve">hälsoapp</t>
  </si>
  <si>
    <t xml:space="preserve">hjärnspel</t>
  </si>
  <si>
    <t xml:space="preserve">sömnspårare</t>
  </si>
  <si>
    <t xml:space="preserve">vattenspårare</t>
  </si>
  <si>
    <t xml:space="preserve">humörspårare</t>
  </si>
  <si>
    <t xml:space="preserve">mensspårare</t>
  </si>
  <si>
    <t xml:space="preserve">Bluom — Apple Search Ads — Switzerland</t>
  </si>
  <si>
    <t xml:space="preserve">macros ia</t>
  </si>
  <si>
    <t xml:space="preserve">'AI macros' (FR) — ties to Bluom's AI scanning/coaching differentiator.</t>
  </si>
  <si>
    <t xml:space="preserve">shopping</t>
  </si>
  <si>
    <t xml:space="preserve">Standalone generic term picked up by the ASO tool — verify relevance before activating; likely grocery-shopping adjacent.</t>
  </si>
  <si>
    <t xml:space="preserve">cuisine</t>
  </si>
  <si>
    <t xml:space="preserve">calorie tracker</t>
  </si>
  <si>
    <t xml:space="preserve">regime</t>
  </si>
  <si>
    <t xml:space="preserve">regime alimentaire</t>
  </si>
  <si>
    <t xml:space="preserve">running</t>
  </si>
  <si>
    <t xml:space="preserve">course</t>
  </si>
  <si>
    <t xml:space="preserve">course a pied</t>
  </si>
  <si>
    <t xml:space="preserve">randonnée</t>
  </si>
  <si>
    <t xml:space="preserve">courses</t>
  </si>
  <si>
    <t xml:space="preserve">vélo</t>
  </si>
  <si>
    <t xml:space="preserve">eau</t>
  </si>
  <si>
    <t xml:space="preserve">mental</t>
  </si>
  <si>
    <t xml:space="preserve">focal</t>
  </si>
  <si>
    <t xml:space="preserve">Likely a typo/variant of 'focus' as returned by the ASO tool.</t>
  </si>
  <si>
    <t xml:space="preserve">humeur</t>
  </si>
  <si>
    <t xml:space="preserve">Source row had no volume data between the keyword ('humeur' = mood, FR) and the Intent column.</t>
  </si>
  <si>
    <t xml:space="preserve">santé mentalo</t>
  </si>
  <si>
    <t xml:space="preserve">Typo of 'santé mentale' (mental health, FR) as returned by the ASO tool — kept verbatim since that's what people may have typed.</t>
  </si>
  <si>
    <t xml:space="preserve">regles</t>
  </si>
  <si>
    <t xml:space="preserve">femme</t>
  </si>
  <si>
    <t xml:space="preserve">jeune</t>
  </si>
  <si>
    <t xml:space="preserve">Likely 'jeûne' (fasting, FR) missing its accent as returned by the ASO tool.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</si>
</sst>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45" hidden="false" customHeight="true" outlineLevel="0" collapsed="false">
      <c r="A8" s="4" t="s">
        <v>5</v>
      </c>
    </row>
    <row r="9" customFormat="false" ht="45" hidden="false" customHeight="true" outlineLevel="0" collapsed="false">
      <c r="A9" s="4" t="s">
        <v>6</v>
      </c>
    </row>
    <row r="10" customFormat="false" ht="45" hidden="false" customHeight="true" outlineLevel="0" collapsed="false">
      <c r="A10" s="4" t="s">
        <v>7</v>
      </c>
    </row>
    <row r="11" customFormat="false" ht="75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7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7" customFormat="false" ht="15" hidden="false" customHeight="false" outlineLevel="0" collapsed="false">
      <c r="A17" s="3" t="s">
        <v>12</v>
      </c>
    </row>
    <row r="18" customFormat="false" ht="45" hidden="false" customHeight="true" outlineLevel="0" collapsed="false">
      <c r="A18" s="4" t="s">
        <v>13</v>
      </c>
    </row>
    <row r="19" customFormat="false" ht="30" hidden="false" customHeight="tru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9.7" hidden="false" customHeight="false" outlineLevel="0" collapsed="false">
      <c r="A1" s="1" t="s">
        <v>15</v>
      </c>
    </row>
    <row r="3" customFormat="false" ht="15" hidden="false" customHeight="false" outlineLevel="0" collapsed="false">
      <c r="A3" s="5" t="s">
        <v>16</v>
      </c>
    </row>
    <row r="5" customFormat="false" ht="26.85" hidden="false" customHeight="false" outlineLevel="0" collapsed="false">
      <c r="A5" s="6" t="s">
        <v>17</v>
      </c>
      <c r="B5" s="6" t="s">
        <v>18</v>
      </c>
      <c r="C5" s="6" t="s">
        <v>19</v>
      </c>
      <c r="D5" s="6" t="s">
        <v>20</v>
      </c>
    </row>
    <row r="6" customFormat="false" ht="31.5" hidden="false" customHeight="true" outlineLevel="0" collapsed="false">
      <c r="A6" s="7" t="s">
        <v>21</v>
      </c>
      <c r="B6" s="8" t="s">
        <v>22</v>
      </c>
      <c r="C6" s="9" t="s">
        <v>23</v>
      </c>
      <c r="D6" s="8" t="s">
        <v>24</v>
      </c>
    </row>
    <row r="7" customFormat="false" ht="31.5" hidden="false" customHeight="true" outlineLevel="0" collapsed="false">
      <c r="A7" s="10" t="s">
        <v>25</v>
      </c>
      <c r="B7" s="11" t="s">
        <v>26</v>
      </c>
      <c r="C7" s="12" t="s">
        <v>27</v>
      </c>
      <c r="D7" s="11" t="s">
        <v>28</v>
      </c>
    </row>
    <row r="8" customFormat="false" ht="31.5" hidden="false" customHeight="true" outlineLevel="0" collapsed="false">
      <c r="A8" s="13" t="s">
        <v>29</v>
      </c>
      <c r="B8" s="14" t="s">
        <v>30</v>
      </c>
      <c r="C8" s="15" t="s">
        <v>23</v>
      </c>
      <c r="D8" s="14" t="s">
        <v>31</v>
      </c>
    </row>
    <row r="9" customFormat="false" ht="31.5" hidden="false" customHeight="true" outlineLevel="0" collapsed="false">
      <c r="A9" s="13" t="s">
        <v>32</v>
      </c>
      <c r="B9" s="14" t="s">
        <v>33</v>
      </c>
      <c r="C9" s="15" t="s">
        <v>23</v>
      </c>
      <c r="D9" s="14" t="s">
        <v>34</v>
      </c>
    </row>
    <row r="10" customFormat="false" ht="31.5" hidden="false" customHeight="true" outlineLevel="0" collapsed="false">
      <c r="A10" s="13" t="s">
        <v>35</v>
      </c>
      <c r="B10" s="14" t="s">
        <v>36</v>
      </c>
      <c r="C10" s="15" t="s">
        <v>23</v>
      </c>
      <c r="D10" s="14" t="s">
        <v>37</v>
      </c>
    </row>
    <row r="11" customFormat="false" ht="31.5" hidden="false" customHeight="true" outlineLevel="0" collapsed="false">
      <c r="A11" s="13" t="s">
        <v>38</v>
      </c>
      <c r="B11" s="14" t="s">
        <v>39</v>
      </c>
      <c r="C11" s="15" t="s">
        <v>23</v>
      </c>
      <c r="D11" s="14" t="s">
        <v>40</v>
      </c>
    </row>
    <row r="12" customFormat="false" ht="31.5" hidden="false" customHeight="true" outlineLevel="0" collapsed="false">
      <c r="A12" s="13" t="s">
        <v>41</v>
      </c>
      <c r="B12" s="14" t="s">
        <v>42</v>
      </c>
      <c r="C12" s="15" t="s">
        <v>23</v>
      </c>
      <c r="D12" s="14" t="s">
        <v>43</v>
      </c>
    </row>
    <row r="13" customFormat="false" ht="31.5" hidden="false" customHeight="true" outlineLevel="0" collapsed="false">
      <c r="A13" s="13" t="s">
        <v>44</v>
      </c>
      <c r="B13" s="14" t="s">
        <v>45</v>
      </c>
      <c r="C13" s="15" t="s">
        <v>23</v>
      </c>
      <c r="D13" s="14" t="s">
        <v>46</v>
      </c>
    </row>
    <row r="14" customFormat="false" ht="31.5" hidden="false" customHeight="true" outlineLevel="0" collapsed="false">
      <c r="A14" s="13" t="s">
        <v>47</v>
      </c>
      <c r="B14" s="14" t="s">
        <v>48</v>
      </c>
      <c r="C14" s="15" t="s">
        <v>23</v>
      </c>
      <c r="D14" s="14" t="s">
        <v>49</v>
      </c>
    </row>
    <row r="15" customFormat="false" ht="31.5" hidden="false" customHeight="true" outlineLevel="0" collapsed="false">
      <c r="A15" s="13" t="s">
        <v>50</v>
      </c>
      <c r="B15" s="14" t="s">
        <v>51</v>
      </c>
      <c r="C15" s="15" t="s">
        <v>23</v>
      </c>
      <c r="D15" s="14" t="s">
        <v>52</v>
      </c>
    </row>
    <row r="17" customFormat="false" ht="15" hidden="false" customHeight="false" outlineLevel="0" collapsed="false">
      <c r="A17" s="3" t="s">
        <v>53</v>
      </c>
    </row>
    <row r="18" customFormat="false" ht="57.45" hidden="false" customHeight="false" outlineLevel="0" collapsed="false">
      <c r="A18" s="4" t="s">
        <v>54</v>
      </c>
    </row>
    <row r="19" customFormat="false" ht="91" hidden="false" customHeight="false" outlineLevel="0" collapsed="false">
      <c r="A19" s="4" t="s">
        <v>55</v>
      </c>
    </row>
    <row r="20" customFormat="false" ht="91" hidden="false" customHeight="false" outlineLevel="0" collapsed="false">
      <c r="A2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57</v>
      </c>
    </row>
    <row r="3" customFormat="false" ht="26.85" hidden="false" customHeight="false" outlineLevel="0" collapsed="false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</row>
    <row r="4" customFormat="false" ht="30" hidden="false" customHeight="true" outlineLevel="0" collapsed="false">
      <c r="A4" s="13" t="s">
        <v>64</v>
      </c>
      <c r="B4" s="16" t="n">
        <v>0</v>
      </c>
      <c r="C4" s="16" t="n">
        <v>5</v>
      </c>
      <c r="D4" s="17" t="n">
        <v>0.25</v>
      </c>
      <c r="E4" s="17" t="n">
        <v>0.5</v>
      </c>
      <c r="F4" s="14" t="s">
        <v>65</v>
      </c>
    </row>
    <row r="5" customFormat="false" ht="30" hidden="false" customHeight="true" outlineLevel="0" collapsed="false">
      <c r="A5" s="13" t="s">
        <v>66</v>
      </c>
      <c r="B5" s="16" t="n">
        <v>6</v>
      </c>
      <c r="C5" s="16" t="n">
        <v>19</v>
      </c>
      <c r="D5" s="17" t="n">
        <v>0.4</v>
      </c>
      <c r="E5" s="17" t="n">
        <v>0.75</v>
      </c>
      <c r="F5" s="14" t="s">
        <v>67</v>
      </c>
    </row>
    <row r="6" customFormat="false" ht="30" hidden="false" customHeight="true" outlineLevel="0" collapsed="false">
      <c r="A6" s="13" t="s">
        <v>68</v>
      </c>
      <c r="B6" s="16" t="n">
        <v>20</v>
      </c>
      <c r="C6" s="16" t="n">
        <v>44</v>
      </c>
      <c r="D6" s="17" t="n">
        <v>0.65</v>
      </c>
      <c r="E6" s="17" t="n">
        <v>1.25</v>
      </c>
      <c r="F6" s="14" t="s">
        <v>69</v>
      </c>
    </row>
    <row r="7" customFormat="false" ht="30" hidden="false" customHeight="true" outlineLevel="0" collapsed="false">
      <c r="A7" s="13" t="s">
        <v>70</v>
      </c>
      <c r="B7" s="16" t="n">
        <v>45</v>
      </c>
      <c r="C7" s="16" t="n">
        <v>100</v>
      </c>
      <c r="D7" s="17" t="n">
        <v>1.25</v>
      </c>
      <c r="E7" s="17" t="n">
        <v>2.5</v>
      </c>
      <c r="F7" s="1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46"/>
  </cols>
  <sheetData>
    <row r="1" customFormat="false" ht="19.7" hidden="false" customHeight="false" outlineLevel="0" collapsed="false">
      <c r="A1" s="1" t="s">
        <v>72</v>
      </c>
    </row>
    <row r="2" customFormat="false" ht="27.75" hidden="false" customHeight="true" outlineLevel="0" collapsed="false">
      <c r="A2" s="2" t="s">
        <v>73</v>
      </c>
    </row>
    <row r="4" customFormat="false" ht="26.85" hidden="false" customHeight="false" outlineLevel="0" collapsed="false">
      <c r="A4" s="6" t="s">
        <v>58</v>
      </c>
      <c r="B4" s="6" t="s">
        <v>61</v>
      </c>
      <c r="C4" s="6" t="s">
        <v>62</v>
      </c>
      <c r="D4" s="6" t="s">
        <v>63</v>
      </c>
    </row>
    <row r="5" customFormat="false" ht="30" hidden="false" customHeight="true" outlineLevel="0" collapsed="false">
      <c r="A5" s="13" t="s">
        <v>74</v>
      </c>
      <c r="B5" s="17" t="n">
        <v>0.2</v>
      </c>
      <c r="C5" s="17" t="n">
        <v>0.4</v>
      </c>
      <c r="D5" s="14" t="s">
        <v>75</v>
      </c>
    </row>
    <row r="6" customFormat="false" ht="30" hidden="false" customHeight="true" outlineLevel="0" collapsed="false">
      <c r="A6" s="13" t="s">
        <v>76</v>
      </c>
      <c r="B6" s="17" t="n">
        <v>0.35</v>
      </c>
      <c r="C6" s="17" t="n">
        <v>0.65</v>
      </c>
      <c r="D6" s="14" t="s">
        <v>77</v>
      </c>
    </row>
    <row r="7" customFormat="false" ht="30" hidden="false" customHeight="true" outlineLevel="0" collapsed="false">
      <c r="A7" s="13" t="s">
        <v>78</v>
      </c>
      <c r="B7" s="17" t="n">
        <v>0.55</v>
      </c>
      <c r="C7" s="17" t="n">
        <v>1</v>
      </c>
      <c r="D7" s="14" t="s">
        <v>79</v>
      </c>
    </row>
    <row r="8" customFormat="false" ht="30" hidden="false" customHeight="true" outlineLevel="0" collapsed="false">
      <c r="A8" s="13" t="s">
        <v>80</v>
      </c>
      <c r="B8" s="17" t="n">
        <v>0.9</v>
      </c>
      <c r="C8" s="17" t="n">
        <v>1.9</v>
      </c>
      <c r="D8" s="14" t="s">
        <v>81</v>
      </c>
    </row>
    <row r="9" customFormat="false" ht="30" hidden="false" customHeight="true" outlineLevel="0" collapsed="false">
      <c r="A9" s="13" t="s">
        <v>82</v>
      </c>
      <c r="B9" s="17" t="n">
        <v>0.2</v>
      </c>
      <c r="C9" s="17" t="n">
        <v>0.2</v>
      </c>
      <c r="D9" s="1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84</v>
      </c>
      <c r="J1" s="18" t="s">
        <v>85</v>
      </c>
    </row>
    <row r="2" customFormat="false" ht="15" hidden="false" customHeight="false" outlineLevel="0" collapsed="false">
      <c r="A2" s="2" t="s">
        <v>86</v>
      </c>
      <c r="J2" s="19" t="s">
        <v>87</v>
      </c>
      <c r="K2" s="20" t="n">
        <f aca="false">PERCENTILE(D8:D56,0.85)</f>
        <v>475.3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90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PERCENTILE(D8:D56,0.6)</f>
        <v>222.4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PERCENTILE(D8:D56,0.3)</f>
        <v>26.7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32</v>
      </c>
      <c r="B8" s="26" t="s">
        <v>103</v>
      </c>
      <c r="C8" s="26" t="s">
        <v>94</v>
      </c>
      <c r="D8" s="15" t="n">
        <v>302</v>
      </c>
      <c r="E8" s="26" t="str">
        <f aca="false">IF(D8="","No Data",IF(D8&gt;=$K$2,"Tier A (Top 15%)",IF(D8&gt;=$K$3,"Tier B (Top 40%)",IF(D8&gt;=$K$4,"Tier C (Top 70%)","Tier D (Bottom 30%)"))))</f>
        <v>Tier B (Top 40%)</v>
      </c>
      <c r="F8" s="27" t="n">
        <f aca="false">VLOOKUP(E8,'Bid Tiers (Relative Volume)'!$A$5:$C$9,3,FALSE())</f>
        <v>1</v>
      </c>
      <c r="G8" s="14"/>
    </row>
    <row r="9" customFormat="false" ht="15" hidden="false" customHeight="false" outlineLevel="0" collapsed="false">
      <c r="A9" s="25" t="s">
        <v>32</v>
      </c>
      <c r="B9" s="26" t="s">
        <v>104</v>
      </c>
      <c r="C9" s="26" t="s">
        <v>94</v>
      </c>
      <c r="D9" s="15" t="n">
        <v>755</v>
      </c>
      <c r="E9" s="26" t="str">
        <f aca="false">IF(D9="","No Data",IF(D9&gt;=$K$2,"Tier A (Top 15%)",IF(D9&gt;=$K$3,"Tier B (Top 40%)",IF(D9&gt;=$K$4,"Tier C (Top 70%)","Tier D (Bottom 30%)"))))</f>
        <v>Tier A (Top 15%)</v>
      </c>
      <c r="F9" s="27" t="n">
        <f aca="false">VLOOKUP(E9,'Bid Tiers (Relative Volume)'!$A$5:$C$9,3,FALSE())</f>
        <v>1.9</v>
      </c>
      <c r="G9" s="14"/>
    </row>
    <row r="10" customFormat="false" ht="15" hidden="false" customHeight="false" outlineLevel="0" collapsed="false">
      <c r="A10" s="25" t="s">
        <v>32</v>
      </c>
      <c r="B10" s="26" t="s">
        <v>105</v>
      </c>
      <c r="C10" s="26" t="s">
        <v>94</v>
      </c>
      <c r="D10" s="15" t="n">
        <v>284</v>
      </c>
      <c r="E10" s="26" t="str">
        <f aca="false">IF(D10="","No Data",IF(D10&gt;=$K$2,"Tier A (Top 15%)",IF(D10&gt;=$K$3,"Tier B (Top 40%)",IF(D10&gt;=$K$4,"Tier C (Top 70%)","Tier D (Bottom 30%)"))))</f>
        <v>Tier B (Top 40%)</v>
      </c>
      <c r="F10" s="27" t="n">
        <f aca="false">VLOOKUP(E10,'Bid Tiers (Relative Volume)'!$A$5:$C$9,3,FALSE())</f>
        <v>1</v>
      </c>
      <c r="G10" s="14"/>
    </row>
    <row r="11" customFormat="false" ht="15" hidden="false" customHeight="false" outlineLevel="0" collapsed="false">
      <c r="A11" s="25" t="s">
        <v>32</v>
      </c>
      <c r="B11" s="26" t="s">
        <v>106</v>
      </c>
      <c r="C11" s="26" t="s">
        <v>94</v>
      </c>
      <c r="D11" s="15" t="n">
        <v>219</v>
      </c>
      <c r="E11" s="26" t="str">
        <f aca="false">IF(D11="","No Data",IF(D11&gt;=$K$2,"Tier A (Top 15%)",IF(D11&gt;=$K$3,"Tier B (Top 40%)",IF(D11&gt;=$K$4,"Tier C (Top 70%)","Tier D (Bottom 30%)"))))</f>
        <v>Tier C (Top 70%)</v>
      </c>
      <c r="F11" s="27" t="n">
        <f aca="false">VLOOKUP(E11,'Bid Tiers (Relative Volume)'!$A$5:$C$9,3,FALSE())</f>
        <v>0.65</v>
      </c>
      <c r="G11" s="14"/>
    </row>
    <row r="12" customFormat="false" ht="15" hidden="false" customHeight="false" outlineLevel="0" collapsed="false">
      <c r="A12" s="25" t="s">
        <v>32</v>
      </c>
      <c r="B12" s="26" t="s">
        <v>107</v>
      </c>
      <c r="C12" s="26" t="s">
        <v>94</v>
      </c>
      <c r="D12" s="15" t="n">
        <v>24</v>
      </c>
      <c r="E12" s="26" t="str">
        <f aca="false">IF(D12="","No Data",IF(D12&gt;=$K$2,"Tier A (Top 15%)",IF(D12&gt;=$K$3,"Tier B (Top 40%)",IF(D12&gt;=$K$4,"Tier C (Top 70%)","Tier D (Bottom 30%)"))))</f>
        <v>Tier D (Bottom 30%)</v>
      </c>
      <c r="F12" s="27" t="n">
        <f aca="false">VLOOKUP(E12,'Bid Tiers (Relative Volume)'!$A$5:$C$9,3,FALSE())</f>
        <v>0.4</v>
      </c>
      <c r="G12" s="14"/>
    </row>
    <row r="13" customFormat="false" ht="15" hidden="false" customHeight="false" outlineLevel="0" collapsed="false">
      <c r="A13" s="25" t="s">
        <v>32</v>
      </c>
      <c r="B13" s="26" t="s">
        <v>108</v>
      </c>
      <c r="C13" s="26" t="s">
        <v>94</v>
      </c>
      <c r="D13" s="15" t="n">
        <v>192</v>
      </c>
      <c r="E13" s="26" t="str">
        <f aca="false">IF(D13="","No Data",IF(D13&gt;=$K$2,"Tier A (Top 15%)",IF(D13&gt;=$K$3,"Tier B (Top 40%)",IF(D13&gt;=$K$4,"Tier C (Top 70%)","Tier D (Bottom 30%)"))))</f>
        <v>Tier C (Top 70%)</v>
      </c>
      <c r="F13" s="27" t="n">
        <f aca="false">VLOOKUP(E13,'Bid Tiers (Relative Volume)'!$A$5:$C$9,3,FALSE())</f>
        <v>0.65</v>
      </c>
      <c r="G13" s="14"/>
    </row>
    <row r="14" customFormat="false" ht="15" hidden="false" customHeight="false" outlineLevel="0" collapsed="false">
      <c r="A14" s="25" t="s">
        <v>32</v>
      </c>
      <c r="B14" s="26" t="s">
        <v>109</v>
      </c>
      <c r="C14" s="26" t="s">
        <v>94</v>
      </c>
      <c r="D14" s="15" t="n">
        <v>130</v>
      </c>
      <c r="E14" s="26" t="str">
        <f aca="false">IF(D14="","No Data",IF(D14&gt;=$K$2,"Tier A (Top 15%)",IF(D14&gt;=$K$3,"Tier B (Top 40%)",IF(D14&gt;=$K$4,"Tier C (Top 70%)","Tier D (Bottom 30%)"))))</f>
        <v>Tier C (Top 70%)</v>
      </c>
      <c r="F14" s="27" t="n">
        <f aca="false">VLOOKUP(E14,'Bid Tiers (Relative Volume)'!$A$5:$C$9,3,FALSE())</f>
        <v>0.65</v>
      </c>
      <c r="G14" s="14"/>
    </row>
    <row r="15" customFormat="false" ht="15" hidden="false" customHeight="false" outlineLevel="0" collapsed="false">
      <c r="A15" s="25" t="s">
        <v>32</v>
      </c>
      <c r="B15" s="26" t="s">
        <v>110</v>
      </c>
      <c r="C15" s="26" t="s">
        <v>94</v>
      </c>
      <c r="D15" s="15" t="n">
        <v>93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111</v>
      </c>
      <c r="C16" s="26" t="s">
        <v>94</v>
      </c>
      <c r="D16" s="15" t="n">
        <v>79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112</v>
      </c>
      <c r="C17" s="26" t="s">
        <v>94</v>
      </c>
      <c r="D17" s="15" t="n">
        <v>218</v>
      </c>
      <c r="E17" s="26" t="str">
        <f aca="false">IF(D17="","No Data",IF(D17&gt;=$K$2,"Tier A (Top 15%)",IF(D17&gt;=$K$3,"Tier B (Top 40%)",IF(D17&gt;=$K$4,"Tier C (Top 70%)","Tier D (Bottom 30%)"))))</f>
        <v>Tier C (Top 70%)</v>
      </c>
      <c r="F17" s="27" t="n">
        <f aca="false">VLOOKUP(E17,'Bid Tiers (Relative Volume)'!$A$5:$C$9,3,FALSE())</f>
        <v>0.65</v>
      </c>
      <c r="G17" s="14"/>
    </row>
    <row r="18" customFormat="false" ht="15" hidden="false" customHeight="false" outlineLevel="0" collapsed="false">
      <c r="A18" s="25" t="s">
        <v>32</v>
      </c>
      <c r="B18" s="26" t="s">
        <v>113</v>
      </c>
      <c r="C18" s="26" t="s">
        <v>94</v>
      </c>
      <c r="D18" s="15" t="n">
        <v>66</v>
      </c>
      <c r="E18" s="26" t="str">
        <f aca="false">IF(D18="","No Data",IF(D18&gt;=$K$2,"Tier A (Top 15%)",IF(D18&gt;=$K$3,"Tier B (Top 40%)",IF(D18&gt;=$K$4,"Tier C (Top 70%)","Tier D (Bottom 30%)"))))</f>
        <v>Tier C (Top 70%)</v>
      </c>
      <c r="F18" s="27" t="n">
        <f aca="false">VLOOKUP(E18,'Bid Tiers (Relative Volume)'!$A$5:$C$9,3,FALSE())</f>
        <v>0.65</v>
      </c>
      <c r="G18" s="14"/>
    </row>
    <row r="19" customFormat="false" ht="15" hidden="false" customHeight="false" outlineLevel="0" collapsed="false">
      <c r="A19" s="25" t="s">
        <v>32</v>
      </c>
      <c r="B19" s="26" t="s">
        <v>114</v>
      </c>
      <c r="C19" s="26" t="s">
        <v>94</v>
      </c>
      <c r="D19" s="15" t="n">
        <v>183</v>
      </c>
      <c r="E19" s="26" t="str">
        <f aca="false">IF(D19="","No Data",IF(D19&gt;=$K$2,"Tier A (Top 15%)",IF(D19&gt;=$K$3,"Tier B (Top 40%)",IF(D19&gt;=$K$4,"Tier C (Top 70%)","Tier D (Bottom 30%)"))))</f>
        <v>Tier C (Top 70%)</v>
      </c>
      <c r="F19" s="27" t="n">
        <f aca="false">VLOOKUP(E19,'Bid Tiers (Relative Volume)'!$A$5:$C$9,3,FALSE())</f>
        <v>0.65</v>
      </c>
      <c r="G19" s="14"/>
    </row>
    <row r="20" customFormat="false" ht="15" hidden="false" customHeight="false" outlineLevel="0" collapsed="false">
      <c r="A20" s="25" t="s">
        <v>32</v>
      </c>
      <c r="B20" s="26" t="s">
        <v>115</v>
      </c>
      <c r="C20" s="26" t="s">
        <v>94</v>
      </c>
      <c r="D20" s="15" t="n">
        <v>9</v>
      </c>
      <c r="E20" s="26" t="str">
        <f aca="false">IF(D20="","No Data",IF(D20&gt;=$K$2,"Tier A (Top 15%)",IF(D20&gt;=$K$3,"Tier B (Top 40%)",IF(D20&gt;=$K$4,"Tier C (Top 70%)","Tier D (Bottom 30%)"))))</f>
        <v>Tier D (Bottom 30%)</v>
      </c>
      <c r="F20" s="27" t="n">
        <f aca="false">VLOOKUP(E20,'Bid Tiers (Relative Volume)'!$A$5:$C$9,3,FALSE())</f>
        <v>0.4</v>
      </c>
      <c r="G20" s="14"/>
    </row>
    <row r="21" customFormat="false" ht="15" hidden="false" customHeight="false" outlineLevel="0" collapsed="false">
      <c r="A21" s="25" t="s">
        <v>32</v>
      </c>
      <c r="B21" s="26" t="s">
        <v>116</v>
      </c>
      <c r="C21" s="26" t="s">
        <v>94</v>
      </c>
      <c r="D21" s="15" t="n">
        <v>0</v>
      </c>
      <c r="E21" s="26" t="str">
        <f aca="false">IF(D21="","No Data",IF(D21&gt;=$K$2,"Tier A (Top 15%)",IF(D21&gt;=$K$3,"Tier B (Top 40%)",IF(D21&gt;=$K$4,"Tier C (Top 70%)","Tier D (Bottom 30%)"))))</f>
        <v>Tier D (Bottom 30%)</v>
      </c>
      <c r="F21" s="27" t="n">
        <f aca="false">VLOOKUP(E21,'Bid Tiers (Relative Volume)'!$A$5:$C$9,3,FALSE())</f>
        <v>0.4</v>
      </c>
      <c r="G21" s="14"/>
    </row>
    <row r="22" customFormat="false" ht="15" hidden="false" customHeight="false" outlineLevel="0" collapsed="false">
      <c r="A22" s="25" t="s">
        <v>35</v>
      </c>
      <c r="B22" s="26" t="s">
        <v>117</v>
      </c>
      <c r="C22" s="26" t="s">
        <v>94</v>
      </c>
      <c r="D22" s="15" t="n">
        <v>477</v>
      </c>
      <c r="E22" s="26" t="str">
        <f aca="false">IF(D22="","No Data",IF(D22&gt;=$K$2,"Tier A (Top 15%)",IF(D22&gt;=$K$3,"Tier B (Top 40%)",IF(D22&gt;=$K$4,"Tier C (Top 70%)","Tier D (Bottom 30%)"))))</f>
        <v>Tier A (Top 15%)</v>
      </c>
      <c r="F22" s="27" t="n">
        <f aca="false">VLOOKUP(E22,'Bid Tiers (Relative Volume)'!$A$5:$C$9,3,FALSE())</f>
        <v>1.9</v>
      </c>
      <c r="G22" s="14"/>
    </row>
    <row r="23" customFormat="false" ht="15" hidden="false" customHeight="false" outlineLevel="0" collapsed="false">
      <c r="A23" s="25" t="s">
        <v>35</v>
      </c>
      <c r="B23" s="26" t="s">
        <v>118</v>
      </c>
      <c r="C23" s="26" t="s">
        <v>94</v>
      </c>
      <c r="D23" s="15" t="n">
        <v>850</v>
      </c>
      <c r="E23" s="26" t="str">
        <f aca="false">IF(D23="","No Data",IF(D23&gt;=$K$2,"Tier A (Top 15%)",IF(D23&gt;=$K$3,"Tier B (Top 40%)",IF(D23&gt;=$K$4,"Tier C (Top 70%)","Tier D (Bottom 30%)"))))</f>
        <v>Tier A (Top 15%)</v>
      </c>
      <c r="F23" s="27" t="n">
        <f aca="false">VLOOKUP(E23,'Bid Tiers (Relative Volume)'!$A$5:$C$9,3,FALSE())</f>
        <v>1.9</v>
      </c>
      <c r="G23" s="14"/>
    </row>
    <row r="24" customFormat="false" ht="15" hidden="false" customHeight="false" outlineLevel="0" collapsed="false">
      <c r="A24" s="25" t="s">
        <v>35</v>
      </c>
      <c r="B24" s="26" t="s">
        <v>119</v>
      </c>
      <c r="C24" s="26" t="s">
        <v>94</v>
      </c>
      <c r="D24" s="15" t="n">
        <v>755</v>
      </c>
      <c r="E24" s="26" t="str">
        <f aca="false">IF(D24="","No Data",IF(D24&gt;=$K$2,"Tier A (Top 15%)",IF(D24&gt;=$K$3,"Tier B (Top 40%)",IF(D24&gt;=$K$4,"Tier C (Top 70%)","Tier D (Bottom 30%)"))))</f>
        <v>Tier A (Top 15%)</v>
      </c>
      <c r="F24" s="27" t="n">
        <f aca="false">VLOOKUP(E24,'Bid Tiers (Relative Volume)'!$A$5:$C$9,3,FALSE())</f>
        <v>1.9</v>
      </c>
      <c r="G24" s="14"/>
    </row>
    <row r="25" customFormat="false" ht="15" hidden="false" customHeight="false" outlineLevel="0" collapsed="false">
      <c r="A25" s="25" t="s">
        <v>35</v>
      </c>
      <c r="B25" s="26" t="s">
        <v>120</v>
      </c>
      <c r="C25" s="26" t="s">
        <v>94</v>
      </c>
      <c r="D25" s="15" t="n">
        <v>682</v>
      </c>
      <c r="E25" s="26" t="str">
        <f aca="false">IF(D25="","No Data",IF(D25&gt;=$K$2,"Tier A (Top 15%)",IF(D25&gt;=$K$3,"Tier B (Top 40%)",IF(D25&gt;=$K$4,"Tier C (Top 70%)","Tier D (Bottom 30%)"))))</f>
        <v>Tier A (Top 15%)</v>
      </c>
      <c r="F25" s="27" t="n">
        <f aca="false">VLOOKUP(E25,'Bid Tiers (Relative Volume)'!$A$5:$C$9,3,FALSE())</f>
        <v>1.9</v>
      </c>
      <c r="G25" s="14"/>
    </row>
    <row r="26" customFormat="false" ht="15" hidden="false" customHeight="false" outlineLevel="0" collapsed="false">
      <c r="A26" s="25" t="s">
        <v>35</v>
      </c>
      <c r="B26" s="26" t="s">
        <v>121</v>
      </c>
      <c r="C26" s="26" t="s">
        <v>94</v>
      </c>
      <c r="D26" s="15" t="n">
        <v>66</v>
      </c>
      <c r="E26" s="26" t="str">
        <f aca="false">IF(D26="","No Data",IF(D26&gt;=$K$2,"Tier A (Top 15%)",IF(D26&gt;=$K$3,"Tier B (Top 40%)",IF(D26&gt;=$K$4,"Tier C (Top 70%)","Tier D (Bottom 30%)"))))</f>
        <v>Tier C (Top 70%)</v>
      </c>
      <c r="F26" s="27" t="n">
        <f aca="false">VLOOKUP(E26,'Bid Tiers (Relative Volume)'!$A$5:$C$9,3,FALSE())</f>
        <v>0.65</v>
      </c>
      <c r="G26" s="14"/>
    </row>
    <row r="27" customFormat="false" ht="15" hidden="false" customHeight="false" outlineLevel="0" collapsed="false">
      <c r="A27" s="25" t="s">
        <v>35</v>
      </c>
      <c r="B27" s="26" t="s">
        <v>122</v>
      </c>
      <c r="C27" s="26" t="s">
        <v>94</v>
      </c>
      <c r="D27" s="15"/>
      <c r="E27" s="26" t="str">
        <f aca="false">IF(D27="","No Data",IF(D27&gt;=$K$2,"Tier A (Top 15%)",IF(D27&gt;=$K$3,"Tier B (Top 40%)",IF(D27&gt;=$K$4,"Tier C (Top 70%)","Tier D (Bottom 30%)"))))</f>
        <v>No Data</v>
      </c>
      <c r="F27" s="27" t="n">
        <f aca="false">VLOOKUP(E27,'Bid Tiers (Relative Volume)'!$A$5:$C$9,3,FALSE())</f>
        <v>0.2</v>
      </c>
      <c r="G27" s="14"/>
    </row>
    <row r="28" customFormat="false" ht="15" hidden="false" customHeight="false" outlineLevel="0" collapsed="false">
      <c r="A28" s="25" t="s">
        <v>35</v>
      </c>
      <c r="B28" s="26" t="s">
        <v>123</v>
      </c>
      <c r="C28" s="26" t="s">
        <v>94</v>
      </c>
      <c r="D28" s="15" t="n">
        <v>236</v>
      </c>
      <c r="E28" s="26" t="str">
        <f aca="false">IF(D28="","No Data",IF(D28&gt;=$K$2,"Tier A (Top 15%)",IF(D28&gt;=$K$3,"Tier B (Top 40%)",IF(D28&gt;=$K$4,"Tier C (Top 70%)","Tier D (Bottom 30%)"))))</f>
        <v>Tier B (Top 40%)</v>
      </c>
      <c r="F28" s="27" t="n">
        <f aca="false">VLOOKUP(E28,'Bid Tiers (Relative Volume)'!$A$5:$C$9,3,FALSE())</f>
        <v>1</v>
      </c>
      <c r="G28" s="14"/>
    </row>
    <row r="29" customFormat="false" ht="15" hidden="false" customHeight="false" outlineLevel="0" collapsed="false">
      <c r="A29" s="25" t="s">
        <v>35</v>
      </c>
      <c r="B29" s="26" t="s">
        <v>124</v>
      </c>
      <c r="C29" s="26" t="s">
        <v>94</v>
      </c>
      <c r="D29" s="15" t="n">
        <v>51</v>
      </c>
      <c r="E29" s="26" t="str">
        <f aca="false">IF(D29="","No Data",IF(D29&gt;=$K$2,"Tier A (Top 15%)",IF(D29&gt;=$K$3,"Tier B (Top 40%)",IF(D29&gt;=$K$4,"Tier C (Top 70%)","Tier D (Bottom 30%)"))))</f>
        <v>Tier C (Top 70%)</v>
      </c>
      <c r="F29" s="27" t="n">
        <f aca="false">VLOOKUP(E29,'Bid Tiers (Relative Volume)'!$A$5:$C$9,3,FALSE())</f>
        <v>0.65</v>
      </c>
      <c r="G29" s="14"/>
    </row>
    <row r="30" customFormat="false" ht="35.05" hidden="false" customHeight="false" outlineLevel="0" collapsed="false">
      <c r="A30" s="25" t="s">
        <v>35</v>
      </c>
      <c r="B30" s="26" t="s">
        <v>125</v>
      </c>
      <c r="C30" s="26" t="s">
        <v>94</v>
      </c>
      <c r="D30" s="15" t="n">
        <v>12</v>
      </c>
      <c r="E30" s="26" t="str">
        <f aca="false">IF(D30="","No Data",IF(D30&gt;=$K$2,"Tier A (Top 15%)",IF(D30&gt;=$K$3,"Tier B (Top 40%)",IF(D30&gt;=$K$4,"Tier C (Top 70%)","Tier D (Bottom 30%)"))))</f>
        <v>Tier D (Bottom 30%)</v>
      </c>
      <c r="F30" s="27" t="n">
        <f aca="false">VLOOKUP(E30,'Bid Tiers (Relative Volume)'!$A$5:$C$9,3,FALSE())</f>
        <v>0.4</v>
      </c>
      <c r="G30" s="14" t="s">
        <v>126</v>
      </c>
    </row>
    <row r="31" customFormat="false" ht="15" hidden="false" customHeight="false" outlineLevel="0" collapsed="false">
      <c r="A31" s="25" t="s">
        <v>35</v>
      </c>
      <c r="B31" s="26" t="s">
        <v>127</v>
      </c>
      <c r="C31" s="26" t="s">
        <v>94</v>
      </c>
      <c r="D31" s="15" t="n">
        <v>18</v>
      </c>
      <c r="E31" s="26" t="str">
        <f aca="false">IF(D31="","No Data",IF(D31&gt;=$K$2,"Tier A (Top 15%)",IF(D31&gt;=$K$3,"Tier B (Top 40%)",IF(D31&gt;=$K$4,"Tier C (Top 70%)","Tier D (Bottom 30%)"))))</f>
        <v>Tier D (Bottom 30%)</v>
      </c>
      <c r="F31" s="27" t="n">
        <f aca="false">VLOOKUP(E31,'Bid Tiers (Relative Volume)'!$A$5:$C$9,3,FALSE())</f>
        <v>0.4</v>
      </c>
      <c r="G31" s="14"/>
    </row>
    <row r="32" customFormat="false" ht="15" hidden="false" customHeight="false" outlineLevel="0" collapsed="false">
      <c r="A32" s="25" t="s">
        <v>35</v>
      </c>
      <c r="B32" s="26" t="s">
        <v>128</v>
      </c>
      <c r="C32" s="26" t="s">
        <v>94</v>
      </c>
      <c r="D32" s="15" t="n">
        <v>0</v>
      </c>
      <c r="E32" s="26" t="str">
        <f aca="false">IF(D32="","No Data",IF(D32&gt;=$K$2,"Tier A (Top 15%)",IF(D32&gt;=$K$3,"Tier B (Top 40%)",IF(D32&gt;=$K$4,"Tier C (Top 70%)","Tier D (Bottom 30%)"))))</f>
        <v>Tier D (Bottom 30%)</v>
      </c>
      <c r="F32" s="27" t="n">
        <f aca="false">VLOOKUP(E32,'Bid Tiers (Relative Volume)'!$A$5:$C$9,3,FALSE())</f>
        <v>0.4</v>
      </c>
      <c r="G32" s="14"/>
    </row>
    <row r="33" customFormat="false" ht="15" hidden="false" customHeight="false" outlineLevel="0" collapsed="false">
      <c r="A33" s="25" t="s">
        <v>35</v>
      </c>
      <c r="B33" s="26" t="s">
        <v>129</v>
      </c>
      <c r="C33" s="26" t="s">
        <v>94</v>
      </c>
      <c r="D33" s="15" t="n">
        <v>4</v>
      </c>
      <c r="E33" s="26" t="str">
        <f aca="false">IF(D33="","No Data",IF(D33&gt;=$K$2,"Tier A (Top 15%)",IF(D33&gt;=$K$3,"Tier B (Top 40%)",IF(D33&gt;=$K$4,"Tier C (Top 70%)","Tier D (Bottom 30%)"))))</f>
        <v>Tier D (Bottom 30%)</v>
      </c>
      <c r="F33" s="27" t="n">
        <f aca="false">VLOOKUP(E33,'Bid Tiers (Relative Volume)'!$A$5:$C$9,3,FALSE())</f>
        <v>0.4</v>
      </c>
      <c r="G33" s="14"/>
    </row>
    <row r="34" customFormat="false" ht="15" hidden="false" customHeight="false" outlineLevel="0" collapsed="false">
      <c r="A34" s="25" t="s">
        <v>35</v>
      </c>
      <c r="B34" s="26" t="s">
        <v>130</v>
      </c>
      <c r="C34" s="26" t="s">
        <v>94</v>
      </c>
      <c r="D34" s="15" t="n">
        <v>1</v>
      </c>
      <c r="E34" s="26" t="str">
        <f aca="false">IF(D34="","No Data",IF(D34&gt;=$K$2,"Tier A (Top 15%)",IF(D34&gt;=$K$3,"Tier B (Top 40%)",IF(D34&gt;=$K$4,"Tier C (Top 70%)","Tier D (Bottom 30%)"))))</f>
        <v>Tier D (Bottom 30%)</v>
      </c>
      <c r="F34" s="27" t="n">
        <f aca="false">VLOOKUP(E34,'Bid Tiers (Relative Volume)'!$A$5:$C$9,3,FALSE())</f>
        <v>0.4</v>
      </c>
      <c r="G34" s="14"/>
    </row>
    <row r="35" customFormat="false" ht="15" hidden="false" customHeight="false" outlineLevel="0" collapsed="false">
      <c r="A35" s="25" t="s">
        <v>38</v>
      </c>
      <c r="B35" s="26" t="s">
        <v>131</v>
      </c>
      <c r="C35" s="26" t="s">
        <v>94</v>
      </c>
      <c r="D35" s="15" t="n">
        <v>443</v>
      </c>
      <c r="E35" s="26" t="str">
        <f aca="false">IF(D35="","No Data",IF(D35&gt;=$K$2,"Tier A (Top 15%)",IF(D35&gt;=$K$3,"Tier B (Top 40%)",IF(D35&gt;=$K$4,"Tier C (Top 70%)","Tier D (Bottom 30%)"))))</f>
        <v>Tier B (Top 40%)</v>
      </c>
      <c r="F35" s="27" t="n">
        <f aca="false">VLOOKUP(E35,'Bid Tiers (Relative Volume)'!$A$5:$C$9,3,FALSE())</f>
        <v>1</v>
      </c>
      <c r="G35" s="14"/>
    </row>
    <row r="36" customFormat="false" ht="15" hidden="false" customHeight="false" outlineLevel="0" collapsed="false">
      <c r="A36" s="25" t="s">
        <v>38</v>
      </c>
      <c r="B36" s="26" t="s">
        <v>132</v>
      </c>
      <c r="C36" s="26" t="s">
        <v>94</v>
      </c>
      <c r="D36" s="15" t="n">
        <v>384</v>
      </c>
      <c r="E36" s="26" t="str">
        <f aca="false">IF(D36="","No Data",IF(D36&gt;=$K$2,"Tier A (Top 15%)",IF(D36&gt;=$K$3,"Tier B (Top 40%)",IF(D36&gt;=$K$4,"Tier C (Top 70%)","Tier D (Bottom 30%)"))))</f>
        <v>Tier B (Top 40%)</v>
      </c>
      <c r="F36" s="27" t="n">
        <f aca="false">VLOOKUP(E36,'Bid Tiers (Relative Volume)'!$A$5:$C$9,3,FALSE())</f>
        <v>1</v>
      </c>
      <c r="G36" s="14"/>
    </row>
    <row r="37" customFormat="false" ht="15" hidden="false" customHeight="false" outlineLevel="0" collapsed="false">
      <c r="A37" s="25" t="s">
        <v>38</v>
      </c>
      <c r="B37" s="26" t="s">
        <v>133</v>
      </c>
      <c r="C37" s="26" t="s">
        <v>94</v>
      </c>
      <c r="D37" s="15" t="n">
        <v>820</v>
      </c>
      <c r="E37" s="26" t="str">
        <f aca="false">IF(D37="","No Data",IF(D37&gt;=$K$2,"Tier A (Top 15%)",IF(D37&gt;=$K$3,"Tier B (Top 40%)",IF(D37&gt;=$K$4,"Tier C (Top 70%)","Tier D (Bottom 30%)"))))</f>
        <v>Tier A (Top 15%)</v>
      </c>
      <c r="F37" s="27" t="n">
        <f aca="false">VLOOKUP(E37,'Bid Tiers (Relative Volume)'!$A$5:$C$9,3,FALSE())</f>
        <v>1.9</v>
      </c>
      <c r="G37" s="14"/>
    </row>
    <row r="38" customFormat="false" ht="15" hidden="false" customHeight="false" outlineLevel="0" collapsed="false">
      <c r="A38" s="25" t="s">
        <v>38</v>
      </c>
      <c r="B38" s="26" t="s">
        <v>134</v>
      </c>
      <c r="C38" s="26" t="s">
        <v>94</v>
      </c>
      <c r="D38" s="15" t="n">
        <v>113</v>
      </c>
      <c r="E38" s="26" t="str">
        <f aca="false">IF(D38="","No Data",IF(D38&gt;=$K$2,"Tier A (Top 15%)",IF(D38&gt;=$K$3,"Tier B (Top 40%)",IF(D38&gt;=$K$4,"Tier C (Top 70%)","Tier D (Bottom 30%)"))))</f>
        <v>Tier C (Top 70%)</v>
      </c>
      <c r="F38" s="27" t="n">
        <f aca="false">VLOOKUP(E38,'Bid Tiers (Relative Volume)'!$A$5:$C$9,3,FALSE())</f>
        <v>0.65</v>
      </c>
      <c r="G38" s="14"/>
    </row>
    <row r="39" customFormat="false" ht="15" hidden="false" customHeight="false" outlineLevel="0" collapsed="false">
      <c r="A39" s="25" t="s">
        <v>38</v>
      </c>
      <c r="B39" s="26" t="s">
        <v>135</v>
      </c>
      <c r="C39" s="26" t="s">
        <v>94</v>
      </c>
      <c r="D39" s="15" t="n">
        <v>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  <row r="40" customFormat="false" ht="15" hidden="false" customHeight="false" outlineLevel="0" collapsed="false">
      <c r="A40" s="25" t="s">
        <v>38</v>
      </c>
      <c r="B40" s="26" t="s">
        <v>136</v>
      </c>
      <c r="C40" s="26" t="s">
        <v>94</v>
      </c>
      <c r="D40" s="15" t="n">
        <v>1</v>
      </c>
      <c r="E40" s="26" t="str">
        <f aca="false">IF(D40="","No Data",IF(D40&gt;=$K$2,"Tier A (Top 15%)",IF(D40&gt;=$K$3,"Tier B (Top 40%)",IF(D40&gt;=$K$4,"Tier C (Top 70%)","Tier D (Bottom 30%)"))))</f>
        <v>Tier D (Bottom 30%)</v>
      </c>
      <c r="F40" s="27" t="n">
        <f aca="false">VLOOKUP(E40,'Bid Tiers (Relative Volume)'!$A$5:$C$9,3,FALSE())</f>
        <v>0.4</v>
      </c>
      <c r="G40" s="14"/>
    </row>
    <row r="41" customFormat="false" ht="15" hidden="false" customHeight="false" outlineLevel="0" collapsed="false">
      <c r="A41" s="25" t="s">
        <v>41</v>
      </c>
      <c r="B41" s="26" t="s">
        <v>137</v>
      </c>
      <c r="C41" s="26" t="s">
        <v>94</v>
      </c>
      <c r="D41" s="15" t="n">
        <v>1947</v>
      </c>
      <c r="E41" s="26" t="str">
        <f aca="false">IF(D41="","No Data",IF(D41&gt;=$K$2,"Tier A (Top 15%)",IF(D41&gt;=$K$3,"Tier B (Top 40%)",IF(D41&gt;=$K$4,"Tier C (Top 70%)","Tier D (Bottom 30%)"))))</f>
        <v>Tier A (Top 15%)</v>
      </c>
      <c r="F41" s="27" t="n">
        <f aca="false">VLOOKUP(E41,'Bid Tiers (Relative Volume)'!$A$5:$C$9,3,FALSE())</f>
        <v>1.9</v>
      </c>
      <c r="G41" s="14"/>
    </row>
    <row r="42" customFormat="false" ht="15" hidden="false" customHeight="false" outlineLevel="0" collapsed="false">
      <c r="A42" s="25" t="s">
        <v>41</v>
      </c>
      <c r="B42" s="26" t="s">
        <v>138</v>
      </c>
      <c r="C42" s="26" t="s">
        <v>94</v>
      </c>
      <c r="D42" s="15" t="n">
        <v>413</v>
      </c>
      <c r="E42" s="26" t="str">
        <f aca="false">IF(D42="","No Data",IF(D42&gt;=$K$2,"Tier A (Top 15%)",IF(D42&gt;=$K$3,"Tier B (Top 40%)",IF(D42&gt;=$K$4,"Tier C (Top 70%)","Tier D (Bottom 30%)"))))</f>
        <v>Tier B (Top 40%)</v>
      </c>
      <c r="F42" s="27" t="n">
        <f aca="false">VLOOKUP(E42,'Bid Tiers (Relative Volume)'!$A$5:$C$9,3,FALSE())</f>
        <v>1</v>
      </c>
      <c r="G42" s="14"/>
    </row>
    <row r="43" customFormat="false" ht="15" hidden="false" customHeight="false" outlineLevel="0" collapsed="false">
      <c r="A43" s="25" t="s">
        <v>41</v>
      </c>
      <c r="B43" s="26" t="s">
        <v>139</v>
      </c>
      <c r="C43" s="26" t="s">
        <v>94</v>
      </c>
      <c r="D43" s="15" t="n">
        <v>550</v>
      </c>
      <c r="E43" s="26" t="str">
        <f aca="false">IF(D43="","No Data",IF(D43&gt;=$K$2,"Tier A (Top 15%)",IF(D43&gt;=$K$3,"Tier B (Top 40%)",IF(D43&gt;=$K$4,"Tier C (Top 70%)","Tier D (Bottom 30%)"))))</f>
        <v>Tier A (Top 15%)</v>
      </c>
      <c r="F43" s="27" t="n">
        <f aca="false">VLOOKUP(E43,'Bid Tiers (Relative Volume)'!$A$5:$C$9,3,FALSE())</f>
        <v>1.9</v>
      </c>
      <c r="G43" s="14"/>
    </row>
    <row r="44" customFormat="false" ht="15" hidden="false" customHeight="false" outlineLevel="0" collapsed="false">
      <c r="A44" s="25" t="s">
        <v>41</v>
      </c>
      <c r="B44" s="26" t="s">
        <v>140</v>
      </c>
      <c r="C44" s="26" t="s">
        <v>94</v>
      </c>
      <c r="D44" s="15" t="n">
        <v>159</v>
      </c>
      <c r="E44" s="26" t="str">
        <f aca="false">IF(D44="","No Data",IF(D44&gt;=$K$2,"Tier A (Top 15%)",IF(D44&gt;=$K$3,"Tier B (Top 40%)",IF(D44&gt;=$K$4,"Tier C (Top 70%)","Tier D (Bottom 30%)"))))</f>
        <v>Tier C (Top 70%)</v>
      </c>
      <c r="F44" s="27" t="n">
        <f aca="false">VLOOKUP(E44,'Bid Tiers (Relative Volume)'!$A$5:$C$9,3,FALSE())</f>
        <v>0.65</v>
      </c>
      <c r="G44" s="14"/>
    </row>
    <row r="45" customFormat="false" ht="15" hidden="false" customHeight="false" outlineLevel="0" collapsed="false">
      <c r="A45" s="25" t="s">
        <v>41</v>
      </c>
      <c r="B45" s="26" t="s">
        <v>141</v>
      </c>
      <c r="C45" s="26" t="s">
        <v>94</v>
      </c>
      <c r="D45" s="15" t="n">
        <v>264</v>
      </c>
      <c r="E45" s="26" t="str">
        <f aca="false">IF(D45="","No Data",IF(D45&gt;=$K$2,"Tier A (Top 15%)",IF(D45&gt;=$K$3,"Tier B (Top 40%)",IF(D45&gt;=$K$4,"Tier C (Top 70%)","Tier D (Bottom 30%)"))))</f>
        <v>Tier B (Top 40%)</v>
      </c>
      <c r="F45" s="27" t="n">
        <f aca="false">VLOOKUP(E45,'Bid Tiers (Relative Volume)'!$A$5:$C$9,3,FALSE())</f>
        <v>1</v>
      </c>
      <c r="G45" s="14"/>
    </row>
    <row r="46" customFormat="false" ht="15" hidden="false" customHeight="false" outlineLevel="0" collapsed="false">
      <c r="A46" s="25" t="s">
        <v>41</v>
      </c>
      <c r="B46" s="26" t="s">
        <v>142</v>
      </c>
      <c r="C46" s="26" t="s">
        <v>94</v>
      </c>
      <c r="D46" s="15" t="n">
        <v>253</v>
      </c>
      <c r="E46" s="26" t="str">
        <f aca="false">IF(D46="","No Data",IF(D46&gt;=$K$2,"Tier A (Top 15%)",IF(D46&gt;=$K$3,"Tier B (Top 40%)",IF(D46&gt;=$K$4,"Tier C (Top 70%)","Tier D (Bottom 30%)"))))</f>
        <v>Tier B (Top 40%)</v>
      </c>
      <c r="F46" s="27" t="n">
        <f aca="false">VLOOKUP(E46,'Bid Tiers (Relative Volume)'!$A$5:$C$9,3,FALSE())</f>
        <v>1</v>
      </c>
      <c r="G46" s="14"/>
    </row>
    <row r="47" customFormat="false" ht="15" hidden="false" customHeight="false" outlineLevel="0" collapsed="false">
      <c r="A47" s="25" t="s">
        <v>41</v>
      </c>
      <c r="B47" s="26" t="s">
        <v>143</v>
      </c>
      <c r="C47" s="26" t="s">
        <v>94</v>
      </c>
      <c r="D47" s="15" t="n">
        <v>6</v>
      </c>
      <c r="E47" s="26" t="str">
        <f aca="false">IF(D47="","No Data",IF(D47&gt;=$K$2,"Tier A (Top 15%)",IF(D47&gt;=$K$3,"Tier B (Top 40%)",IF(D47&gt;=$K$4,"Tier C (Top 70%)","Tier D (Bottom 30%)"))))</f>
        <v>Tier D (Bottom 30%)</v>
      </c>
      <c r="F47" s="27" t="n">
        <f aca="false">VLOOKUP(E47,'Bid Tiers (Relative Volume)'!$A$5:$C$9,3,FALSE())</f>
        <v>0.4</v>
      </c>
      <c r="G47" s="14"/>
    </row>
    <row r="48" customFormat="false" ht="15" hidden="false" customHeight="false" outlineLevel="0" collapsed="false">
      <c r="A48" s="25" t="s">
        <v>41</v>
      </c>
      <c r="B48" s="26" t="s">
        <v>144</v>
      </c>
      <c r="C48" s="26" t="s">
        <v>94</v>
      </c>
      <c r="D48" s="15" t="n">
        <v>0</v>
      </c>
      <c r="E48" s="26" t="str">
        <f aca="false">IF(D48="","No Data",IF(D48&gt;=$K$2,"Tier A (Top 15%)",IF(D48&gt;=$K$3,"Tier B (Top 40%)",IF(D48&gt;=$K$4,"Tier C (Top 70%)","Tier D (Bottom 30%)"))))</f>
        <v>Tier D (Bottom 30%)</v>
      </c>
      <c r="F48" s="27" t="n">
        <f aca="false">VLOOKUP(E48,'Bid Tiers (Relative Volume)'!$A$5:$C$9,3,FALSE())</f>
        <v>0.4</v>
      </c>
      <c r="G48" s="14"/>
    </row>
    <row r="49" customFormat="false" ht="15" hidden="false" customHeight="false" outlineLevel="0" collapsed="false">
      <c r="A49" s="25" t="s">
        <v>41</v>
      </c>
      <c r="B49" s="26" t="s">
        <v>145</v>
      </c>
      <c r="C49" s="26" t="s">
        <v>94</v>
      </c>
      <c r="D49" s="15" t="n">
        <v>1</v>
      </c>
      <c r="E49" s="26" t="str">
        <f aca="false">IF(D49="","No Data",IF(D49&gt;=$K$2,"Tier A (Top 15%)",IF(D49&gt;=$K$3,"Tier B (Top 40%)",IF(D49&gt;=$K$4,"Tier C (Top 70%)","Tier D (Bottom 30%)"))))</f>
        <v>Tier D (Bottom 30%)</v>
      </c>
      <c r="F49" s="27" t="n">
        <f aca="false">VLOOKUP(E49,'Bid Tiers (Relative Volume)'!$A$5:$C$9,3,FALSE())</f>
        <v>0.4</v>
      </c>
      <c r="G49" s="14"/>
    </row>
    <row r="50" customFormat="false" ht="15" hidden="false" customHeight="false" outlineLevel="0" collapsed="false">
      <c r="A50" s="25" t="s">
        <v>44</v>
      </c>
      <c r="B50" s="26" t="s">
        <v>146</v>
      </c>
      <c r="C50" s="26" t="s">
        <v>94</v>
      </c>
      <c r="D50" s="15" t="n">
        <v>283</v>
      </c>
      <c r="E50" s="26" t="str">
        <f aca="false">IF(D50="","No Data",IF(D50&gt;=$K$2,"Tier A (Top 15%)",IF(D50&gt;=$K$3,"Tier B (Top 40%)",IF(D50&gt;=$K$4,"Tier C (Top 70%)","Tier D (Bottom 30%)"))))</f>
        <v>Tier B (Top 40%)</v>
      </c>
      <c r="F50" s="27" t="n">
        <f aca="false">VLOOKUP(E50,'Bid Tiers (Relative Volume)'!$A$5:$C$9,3,FALSE())</f>
        <v>1</v>
      </c>
      <c r="G50" s="14"/>
    </row>
    <row r="51" customFormat="false" ht="15" hidden="false" customHeight="false" outlineLevel="0" collapsed="false">
      <c r="A51" s="25" t="s">
        <v>44</v>
      </c>
      <c r="B51" s="26" t="s">
        <v>147</v>
      </c>
      <c r="C51" s="26" t="s">
        <v>94</v>
      </c>
      <c r="D51" s="15" t="n">
        <v>18</v>
      </c>
      <c r="E51" s="26" t="str">
        <f aca="false">IF(D51="","No Data",IF(D51&gt;=$K$2,"Tier A (Top 15%)",IF(D51&gt;=$K$3,"Tier B (Top 40%)",IF(D51&gt;=$K$4,"Tier C (Top 70%)","Tier D (Bottom 30%)"))))</f>
        <v>Tier D (Bottom 30%)</v>
      </c>
      <c r="F51" s="27" t="n">
        <f aca="false">VLOOKUP(E51,'Bid Tiers (Relative Volume)'!$A$5:$C$9,3,FALSE())</f>
        <v>0.4</v>
      </c>
      <c r="G51" s="14"/>
    </row>
    <row r="52" customFormat="false" ht="15" hidden="false" customHeight="false" outlineLevel="0" collapsed="false">
      <c r="A52" s="25" t="s">
        <v>44</v>
      </c>
      <c r="B52" s="26" t="s">
        <v>148</v>
      </c>
      <c r="C52" s="26" t="s">
        <v>94</v>
      </c>
      <c r="D52" s="15" t="n">
        <v>78</v>
      </c>
      <c r="E52" s="26" t="str">
        <f aca="false">IF(D52="","No Data",IF(D52&gt;=$K$2,"Tier A (Top 15%)",IF(D52&gt;=$K$3,"Tier B (Top 40%)",IF(D52&gt;=$K$4,"Tier C (Top 70%)","Tier D (Bottom 30%)"))))</f>
        <v>Tier C (Top 70%)</v>
      </c>
      <c r="F52" s="27" t="n">
        <f aca="false">VLOOKUP(E52,'Bid Tiers (Relative Volume)'!$A$5:$C$9,3,FALSE())</f>
        <v>0.65</v>
      </c>
      <c r="G52" s="14"/>
    </row>
    <row r="53" customFormat="false" ht="46.25" hidden="false" customHeight="false" outlineLevel="0" collapsed="false">
      <c r="A53" s="25" t="s">
        <v>44</v>
      </c>
      <c r="B53" s="26" t="s">
        <v>149</v>
      </c>
      <c r="C53" s="26" t="s">
        <v>94</v>
      </c>
      <c r="D53" s="15" t="n">
        <v>79</v>
      </c>
      <c r="E53" s="26" t="str">
        <f aca="false">IF(D53="","No Data",IF(D53&gt;=$K$2,"Tier A (Top 15%)",IF(D53&gt;=$K$3,"Tier B (Top 40%)",IF(D53&gt;=$K$4,"Tier C (Top 70%)","Tier D (Bottom 30%)"))))</f>
        <v>Tier C (Top 70%)</v>
      </c>
      <c r="F53" s="27" t="n">
        <f aca="false">VLOOKUP(E53,'Bid Tiers (Relative Volume)'!$A$5:$C$9,3,FALSE())</f>
        <v>0.65</v>
      </c>
      <c r="G53" s="14" t="s">
        <v>150</v>
      </c>
    </row>
    <row r="54" customFormat="false" ht="15" hidden="false" customHeight="false" outlineLevel="0" collapsed="false">
      <c r="A54" s="25" t="s">
        <v>44</v>
      </c>
      <c r="B54" s="26" t="s">
        <v>151</v>
      </c>
      <c r="C54" s="26" t="s">
        <v>94</v>
      </c>
      <c r="D54" s="15" t="n">
        <v>0</v>
      </c>
      <c r="E54" s="26" t="str">
        <f aca="false">IF(D54="","No Data",IF(D54&gt;=$K$2,"Tier A (Top 15%)",IF(D54&gt;=$K$3,"Tier B (Top 40%)",IF(D54&gt;=$K$4,"Tier C (Top 70%)","Tier D (Bottom 30%)"))))</f>
        <v>Tier D (Bottom 30%)</v>
      </c>
      <c r="F54" s="27" t="n">
        <f aca="false">VLOOKUP(E54,'Bid Tiers (Relative Volume)'!$A$5:$C$9,3,FALSE())</f>
        <v>0.4</v>
      </c>
      <c r="G54" s="14"/>
    </row>
    <row r="55" customFormat="false" ht="15" hidden="false" customHeight="false" outlineLevel="0" collapsed="false">
      <c r="A55" s="25" t="s">
        <v>47</v>
      </c>
      <c r="B55" s="26" t="s">
        <v>152</v>
      </c>
      <c r="C55" s="26" t="s">
        <v>94</v>
      </c>
      <c r="D55" s="15" t="n">
        <v>443</v>
      </c>
      <c r="E55" s="26" t="str">
        <f aca="false">IF(D55="","No Data",IF(D55&gt;=$K$2,"Tier A (Top 15%)",IF(D55&gt;=$K$3,"Tier B (Top 40%)",IF(D55&gt;=$K$4,"Tier C (Top 70%)","Tier D (Bottom 30%)"))))</f>
        <v>Tier B (Top 40%)</v>
      </c>
      <c r="F55" s="27" t="n">
        <f aca="false">VLOOKUP(E55,'Bid Tiers (Relative Volume)'!$A$5:$C$9,3,FALSE())</f>
        <v>1</v>
      </c>
      <c r="G55" s="14"/>
    </row>
    <row r="56" customFormat="false" ht="15" hidden="false" customHeight="false" outlineLevel="0" collapsed="false">
      <c r="A56" s="25" t="s">
        <v>47</v>
      </c>
      <c r="B56" s="26" t="s">
        <v>153</v>
      </c>
      <c r="C56" s="26" t="s">
        <v>94</v>
      </c>
      <c r="D56" s="15" t="n">
        <v>384</v>
      </c>
      <c r="E56" s="26" t="str">
        <f aca="false">IF(D56="","No Data",IF(D56&gt;=$K$2,"Tier A (Top 15%)",IF(D56&gt;=$K$3,"Tier B (Top 40%)",IF(D56&gt;=$K$4,"Tier C (Top 70%)","Tier D (Bottom 30%)"))))</f>
        <v>Tier B (Top 40%)</v>
      </c>
      <c r="F56" s="27" t="n">
        <f aca="false">VLOOKUP(E56,'Bid Tiers (Relative Volume)'!$A$5:$C$9,3,FALSE())</f>
        <v>1</v>
      </c>
      <c r="G56" s="14"/>
    </row>
  </sheetData>
  <autoFilter ref="A3:G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154</v>
      </c>
      <c r="J1" s="18" t="s">
        <v>85</v>
      </c>
    </row>
    <row r="2" customFormat="false" ht="15" hidden="false" customHeight="false" outlineLevel="0" collapsed="false">
      <c r="A2" s="2" t="s">
        <v>86</v>
      </c>
      <c r="J2" s="19" t="s">
        <v>87</v>
      </c>
      <c r="K2" s="20" t="n">
        <f aca="false">PERCENTILE(D8:D59,0.85)</f>
        <v>243.5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90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PERCENTILE(D8:D59,0.6)</f>
        <v>146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PERCENTILE(D8:D59,0.3)</f>
        <v>2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205</v>
      </c>
      <c r="E8" s="26" t="str">
        <f aca="false">IF(D8="","No Data",IF(D8&gt;=$K$2,"Tier A (Top 15%)",IF(D8&gt;=$K$3,"Tier B (Top 40%)",IF(D8&gt;=$K$4,"Tier C (Top 70%)","Tier D (Bottom 30%)"))))</f>
        <v>Tier B (Top 40%)</v>
      </c>
      <c r="F8" s="27" t="n">
        <f aca="false">VLOOKUP(E8,'Bid Tiers (Relative Volume)'!$A$5:$C$9,3,FALSE())</f>
        <v>1</v>
      </c>
      <c r="G8" s="14"/>
    </row>
    <row r="9" customFormat="false" ht="15" hidden="false" customHeight="false" outlineLevel="0" collapsed="false">
      <c r="A9" s="25" t="s">
        <v>32</v>
      </c>
      <c r="B9" s="26" t="s">
        <v>156</v>
      </c>
      <c r="C9" s="26" t="s">
        <v>94</v>
      </c>
      <c r="D9" s="15" t="n">
        <v>416</v>
      </c>
      <c r="E9" s="26" t="str">
        <f aca="false">IF(D9="","No Data",IF(D9&gt;=$K$2,"Tier A (Top 15%)",IF(D9&gt;=$K$3,"Tier B (Top 40%)",IF(D9&gt;=$K$4,"Tier C (Top 70%)","Tier D (Bottom 30%)"))))</f>
        <v>Tier A (Top 15%)</v>
      </c>
      <c r="F9" s="27" t="n">
        <f aca="false">VLOOKUP(E9,'Bid Tiers (Relative Volume)'!$A$5:$C$9,3,FALSE())</f>
        <v>1.9</v>
      </c>
      <c r="G9" s="14"/>
    </row>
    <row r="10" customFormat="false" ht="15" hidden="false" customHeight="false" outlineLevel="0" collapsed="false">
      <c r="A10" s="25" t="s">
        <v>32</v>
      </c>
      <c r="B10" s="26" t="s">
        <v>107</v>
      </c>
      <c r="C10" s="26" t="s">
        <v>94</v>
      </c>
      <c r="D10" s="15" t="n">
        <v>197</v>
      </c>
      <c r="E10" s="26" t="str">
        <f aca="false">IF(D10="","No Data",IF(D10&gt;=$K$2,"Tier A (Top 15%)",IF(D10&gt;=$K$3,"Tier B (Top 40%)",IF(D10&gt;=$K$4,"Tier C (Top 70%)","Tier D (Bottom 30%)"))))</f>
        <v>Tier B (Top 40%)</v>
      </c>
      <c r="F10" s="27" t="n">
        <f aca="false">VLOOKUP(E10,'Bid Tiers (Relative Volume)'!$A$5:$C$9,3,FALSE())</f>
        <v>1</v>
      </c>
      <c r="G10" s="14"/>
    </row>
    <row r="11" customFormat="false" ht="15" hidden="false" customHeight="false" outlineLevel="0" collapsed="false">
      <c r="A11" s="25" t="s">
        <v>32</v>
      </c>
      <c r="B11" s="26" t="s">
        <v>157</v>
      </c>
      <c r="C11" s="26" t="s">
        <v>94</v>
      </c>
      <c r="D11" s="15" t="n">
        <v>157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158</v>
      </c>
      <c r="C12" s="26" t="s">
        <v>94</v>
      </c>
      <c r="D12" s="15" t="n">
        <v>105</v>
      </c>
      <c r="E12" s="26" t="str">
        <f aca="false">IF(D12="","No Data",IF(D12&gt;=$K$2,"Tier A (Top 15%)",IF(D12&gt;=$K$3,"Tier B (Top 40%)",IF(D12&gt;=$K$4,"Tier C (Top 70%)","Tier D (Bottom 30%)"))))</f>
        <v>Tier C (Top 70%)</v>
      </c>
      <c r="F12" s="27" t="n">
        <f aca="false">VLOOKUP(E12,'Bid Tiers (Relative Volume)'!$A$5:$C$9,3,FALSE())</f>
        <v>0.65</v>
      </c>
      <c r="G12" s="14"/>
    </row>
    <row r="13" customFormat="false" ht="15" hidden="false" customHeight="false" outlineLevel="0" collapsed="false">
      <c r="A13" s="25" t="s">
        <v>32</v>
      </c>
      <c r="B13" s="26" t="s">
        <v>159</v>
      </c>
      <c r="C13" s="26" t="s">
        <v>94</v>
      </c>
      <c r="D13" s="15" t="n">
        <v>304</v>
      </c>
      <c r="E13" s="26" t="str">
        <f aca="false">IF(D13="","No Data",IF(D13&gt;=$K$2,"Tier A (Top 15%)",IF(D13&gt;=$K$3,"Tier B (Top 40%)",IF(D13&gt;=$K$4,"Tier C (Top 70%)","Tier D (Bottom 30%)"))))</f>
        <v>Tier A (Top 15%)</v>
      </c>
      <c r="F13" s="27" t="n">
        <f aca="false">VLOOKUP(E13,'Bid Tiers (Relative Volume)'!$A$5:$C$9,3,FALSE())</f>
        <v>1.9</v>
      </c>
      <c r="G13" s="14"/>
    </row>
    <row r="14" customFormat="false" ht="15" hidden="false" customHeight="false" outlineLevel="0" collapsed="false">
      <c r="A14" s="25" t="s">
        <v>32</v>
      </c>
      <c r="B14" s="26" t="s">
        <v>160</v>
      </c>
      <c r="C14" s="26" t="s">
        <v>94</v>
      </c>
      <c r="D14" s="15" t="n">
        <v>18</v>
      </c>
      <c r="E14" s="26" t="str">
        <f aca="false">IF(D14="","No Data",IF(D14&gt;=$K$2,"Tier A (Top 15%)",IF(D14&gt;=$K$3,"Tier B (Top 40%)",IF(D14&gt;=$K$4,"Tier C (Top 70%)","Tier D (Bottom 30%)"))))</f>
        <v>Tier C (Top 70%)</v>
      </c>
      <c r="F14" s="27" t="n">
        <f aca="false">VLOOKUP(E14,'Bid Tiers (Relative Volume)'!$A$5:$C$9,3,FALSE())</f>
        <v>0.65</v>
      </c>
      <c r="G14" s="14"/>
    </row>
    <row r="15" customFormat="false" ht="15" hidden="false" customHeight="false" outlineLevel="0" collapsed="false">
      <c r="A15" s="25" t="s">
        <v>32</v>
      </c>
      <c r="B15" s="26" t="s">
        <v>161</v>
      </c>
      <c r="C15" s="26" t="s">
        <v>94</v>
      </c>
      <c r="D15" s="15" t="n">
        <v>0</v>
      </c>
      <c r="E15" s="26" t="str">
        <f aca="false">IF(D15="","No Data",IF(D15&gt;=$K$2,"Tier A (Top 15%)",IF(D15&gt;=$K$3,"Tier B (Top 40%)",IF(D15&gt;=$K$4,"Tier C (Top 70%)","Tier D (Bottom 30%)"))))</f>
        <v>Tier D (Bottom 30%)</v>
      </c>
      <c r="F15" s="27" t="n">
        <f aca="false">VLOOKUP(E15,'Bid Tiers (Relative Volume)'!$A$5:$C$9,3,FALSE())</f>
        <v>0.4</v>
      </c>
      <c r="G15" s="14"/>
    </row>
    <row r="16" customFormat="false" ht="15" hidden="false" customHeight="false" outlineLevel="0" collapsed="false">
      <c r="A16" s="25" t="s">
        <v>32</v>
      </c>
      <c r="B16" s="26" t="s">
        <v>162</v>
      </c>
      <c r="C16" s="26" t="s">
        <v>94</v>
      </c>
      <c r="D16" s="15" t="n">
        <v>1</v>
      </c>
      <c r="E16" s="26" t="str">
        <f aca="false">IF(D16="","No Data",IF(D16&gt;=$K$2,"Tier A (Top 15%)",IF(D16&gt;=$K$3,"Tier B (Top 40%)",IF(D16&gt;=$K$4,"Tier C (Top 70%)","Tier D (Bottom 30%)"))))</f>
        <v>Tier D (Bottom 30%)</v>
      </c>
      <c r="F16" s="27" t="n">
        <f aca="false">VLOOKUP(E16,'Bid Tiers (Relative Volume)'!$A$5:$C$9,3,FALSE())</f>
        <v>0.4</v>
      </c>
      <c r="G16" s="14"/>
    </row>
    <row r="17" customFormat="false" ht="15" hidden="false" customHeight="false" outlineLevel="0" collapsed="false">
      <c r="A17" s="25" t="s">
        <v>32</v>
      </c>
      <c r="B17" s="26" t="s">
        <v>108</v>
      </c>
      <c r="C17" s="26" t="s">
        <v>94</v>
      </c>
      <c r="D17" s="15" t="n">
        <v>2</v>
      </c>
      <c r="E17" s="26" t="str">
        <f aca="false">IF(D17="","No Data",IF(D17&gt;=$K$2,"Tier A (Top 15%)",IF(D17&gt;=$K$3,"Tier B (Top 40%)",IF(D17&gt;=$K$4,"Tier C (Top 70%)","Tier D (Bottom 30%)"))))</f>
        <v>Tier C (Top 70%)</v>
      </c>
      <c r="F17" s="27" t="n">
        <f aca="false">VLOOKUP(E17,'Bid Tiers (Relative Volume)'!$A$5:$C$9,3,FALSE())</f>
        <v>0.65</v>
      </c>
      <c r="G17" s="14"/>
    </row>
    <row r="18" customFormat="false" ht="15" hidden="false" customHeight="false" outlineLevel="0" collapsed="false">
      <c r="A18" s="25" t="s">
        <v>32</v>
      </c>
      <c r="B18" s="26" t="s">
        <v>111</v>
      </c>
      <c r="C18" s="26" t="s">
        <v>94</v>
      </c>
      <c r="D18" s="15" t="n">
        <v>2</v>
      </c>
      <c r="E18" s="26" t="str">
        <f aca="false">IF(D18="","No Data",IF(D18&gt;=$K$2,"Tier A (Top 15%)",IF(D18&gt;=$K$3,"Tier B (Top 40%)",IF(D18&gt;=$K$4,"Tier C (Top 70%)","Tier D (Bottom 30%)"))))</f>
        <v>Tier C (Top 70%)</v>
      </c>
      <c r="F18" s="27" t="n">
        <f aca="false">VLOOKUP(E18,'Bid Tiers (Relative Volume)'!$A$5:$C$9,3,FALSE())</f>
        <v>0.65</v>
      </c>
      <c r="G18" s="14"/>
    </row>
    <row r="19" customFormat="false" ht="15" hidden="false" customHeight="false" outlineLevel="0" collapsed="false">
      <c r="A19" s="25" t="s">
        <v>32</v>
      </c>
      <c r="B19" s="26" t="s">
        <v>112</v>
      </c>
      <c r="C19" s="26" t="s">
        <v>94</v>
      </c>
      <c r="D19" s="15" t="n">
        <v>1</v>
      </c>
      <c r="E19" s="26" t="str">
        <f aca="false">IF(D19="","No Data",IF(D19&gt;=$K$2,"Tier A (Top 15%)",IF(D19&gt;=$K$3,"Tier B (Top 40%)",IF(D19&gt;=$K$4,"Tier C (Top 70%)","Tier D (Bottom 30%)"))))</f>
        <v>Tier D (Bottom 30%)</v>
      </c>
      <c r="F19" s="27" t="n">
        <f aca="false">VLOOKUP(E19,'Bid Tiers (Relative Volume)'!$A$5:$C$9,3,FALSE())</f>
        <v>0.4</v>
      </c>
      <c r="G19" s="14"/>
    </row>
    <row r="20" customFormat="false" ht="15" hidden="false" customHeight="false" outlineLevel="0" collapsed="false">
      <c r="A20" s="25" t="s">
        <v>32</v>
      </c>
      <c r="B20" s="26" t="s">
        <v>115</v>
      </c>
      <c r="C20" s="26" t="s">
        <v>94</v>
      </c>
      <c r="D20" s="15" t="n">
        <v>53</v>
      </c>
      <c r="E20" s="26" t="str">
        <f aca="false">IF(D20="","No Data",IF(D20&gt;=$K$2,"Tier A (Top 15%)",IF(D20&gt;=$K$3,"Tier B (Top 40%)",IF(D20&gt;=$K$4,"Tier C (Top 70%)","Tier D (Bottom 30%)"))))</f>
        <v>Tier C (Top 70%)</v>
      </c>
      <c r="F20" s="27" t="n">
        <f aca="false">VLOOKUP(E20,'Bid Tiers (Relative Volume)'!$A$5:$C$9,3,FALSE())</f>
        <v>0.65</v>
      </c>
      <c r="G20" s="14"/>
    </row>
    <row r="21" customFormat="false" ht="15" hidden="false" customHeight="false" outlineLevel="0" collapsed="false">
      <c r="A21" s="25" t="s">
        <v>32</v>
      </c>
      <c r="B21" s="26" t="s">
        <v>163</v>
      </c>
      <c r="C21" s="26" t="s">
        <v>94</v>
      </c>
      <c r="D21" s="15" t="n">
        <v>2</v>
      </c>
      <c r="E21" s="26" t="str">
        <f aca="false">IF(D21="","No Data",IF(D21&gt;=$K$2,"Tier A (Top 15%)",IF(D21&gt;=$K$3,"Tier B (Top 40%)",IF(D21&gt;=$K$4,"Tier C (Top 70%)","Tier D (Bottom 30%)"))))</f>
        <v>Tier C (Top 70%)</v>
      </c>
      <c r="F21" s="27" t="n">
        <f aca="false">VLOOKUP(E21,'Bid Tiers (Relative Volume)'!$A$5:$C$9,3,FALSE())</f>
        <v>0.65</v>
      </c>
      <c r="G21" s="14"/>
    </row>
    <row r="22" customFormat="false" ht="15" hidden="false" customHeight="false" outlineLevel="0" collapsed="false">
      <c r="A22" s="25" t="s">
        <v>32</v>
      </c>
      <c r="B22" s="26" t="s">
        <v>164</v>
      </c>
      <c r="C22" s="26" t="s">
        <v>94</v>
      </c>
      <c r="D22" s="15" t="n">
        <v>0</v>
      </c>
      <c r="E22" s="26" t="str">
        <f aca="false">IF(D22="","No Data",IF(D22&gt;=$K$2,"Tier A (Top 15%)",IF(D22&gt;=$K$3,"Tier B (Top 40%)",IF(D22&gt;=$K$4,"Tier C (Top 70%)","Tier D (Bottom 30%)"))))</f>
        <v>Tier D (Bottom 30%)</v>
      </c>
      <c r="F22" s="27" t="n">
        <f aca="false">VLOOKUP(E22,'Bid Tiers (Relative Volume)'!$A$5:$C$9,3,FALSE())</f>
        <v>0.4</v>
      </c>
      <c r="G22" s="14"/>
    </row>
    <row r="23" customFormat="false" ht="15" hidden="false" customHeight="false" outlineLevel="0" collapsed="false">
      <c r="A23" s="25" t="s">
        <v>32</v>
      </c>
      <c r="B23" s="26" t="s">
        <v>113</v>
      </c>
      <c r="C23" s="26" t="s">
        <v>94</v>
      </c>
      <c r="D23" s="15" t="n">
        <v>0</v>
      </c>
      <c r="E23" s="26" t="str">
        <f aca="false">IF(D23="","No Data",IF(D23&gt;=$K$2,"Tier A (Top 15%)",IF(D23&gt;=$K$3,"Tier B (Top 40%)",IF(D23&gt;=$K$4,"Tier C (Top 70%)","Tier D (Bottom 30%)"))))</f>
        <v>Tier D (Bottom 30%)</v>
      </c>
      <c r="F23" s="27" t="n">
        <f aca="false">VLOOKUP(E23,'Bid Tiers (Relative Volume)'!$A$5:$C$9,3,FALSE())</f>
        <v>0.4</v>
      </c>
      <c r="G23" s="14"/>
    </row>
    <row r="24" customFormat="false" ht="15" hidden="false" customHeight="false" outlineLevel="0" collapsed="false">
      <c r="A24" s="25" t="s">
        <v>35</v>
      </c>
      <c r="B24" s="26" t="s">
        <v>165</v>
      </c>
      <c r="C24" s="26" t="s">
        <v>94</v>
      </c>
      <c r="D24" s="15" t="n">
        <v>248</v>
      </c>
      <c r="E24" s="26" t="str">
        <f aca="false">IF(D24="","No Data",IF(D24&gt;=$K$2,"Tier A (Top 15%)",IF(D24&gt;=$K$3,"Tier B (Top 40%)",IF(D24&gt;=$K$4,"Tier C (Top 70%)","Tier D (Bottom 30%)"))))</f>
        <v>Tier A (Top 15%)</v>
      </c>
      <c r="F24" s="27" t="n">
        <f aca="false">VLOOKUP(E24,'Bid Tiers (Relative Volume)'!$A$5:$C$9,3,FALSE())</f>
        <v>1.9</v>
      </c>
      <c r="G24" s="14"/>
    </row>
    <row r="25" customFormat="false" ht="15" hidden="false" customHeight="false" outlineLevel="0" collapsed="false">
      <c r="A25" s="25" t="s">
        <v>35</v>
      </c>
      <c r="B25" s="26" t="s">
        <v>121</v>
      </c>
      <c r="C25" s="26" t="s">
        <v>94</v>
      </c>
      <c r="D25" s="15" t="n">
        <v>109</v>
      </c>
      <c r="E25" s="26" t="str">
        <f aca="false">IF(D25="","No Data",IF(D25&gt;=$K$2,"Tier A (Top 15%)",IF(D25&gt;=$K$3,"Tier B (Top 40%)",IF(D25&gt;=$K$4,"Tier C (Top 70%)","Tier D (Bottom 30%)"))))</f>
        <v>Tier C (Top 70%)</v>
      </c>
      <c r="F25" s="27" t="n">
        <f aca="false">VLOOKUP(E25,'Bid Tiers (Relative Volume)'!$A$5:$C$9,3,FALSE())</f>
        <v>0.65</v>
      </c>
      <c r="G25" s="14"/>
    </row>
    <row r="26" customFormat="false" ht="15" hidden="false" customHeight="false" outlineLevel="0" collapsed="false">
      <c r="A26" s="25" t="s">
        <v>35</v>
      </c>
      <c r="B26" s="26" t="s">
        <v>117</v>
      </c>
      <c r="C26" s="26" t="s">
        <v>94</v>
      </c>
      <c r="D26" s="15" t="n">
        <v>321</v>
      </c>
      <c r="E26" s="26" t="str">
        <f aca="false">IF(D26="","No Data",IF(D26&gt;=$K$2,"Tier A (Top 15%)",IF(D26&gt;=$K$3,"Tier B (Top 40%)",IF(D26&gt;=$K$4,"Tier C (Top 70%)","Tier D (Bottom 30%)"))))</f>
        <v>Tier A (Top 15%)</v>
      </c>
      <c r="F26" s="27" t="n">
        <f aca="false">VLOOKUP(E26,'Bid Tiers (Relative Volume)'!$A$5:$C$9,3,FALSE())</f>
        <v>1.9</v>
      </c>
      <c r="G26" s="14"/>
    </row>
    <row r="27" customFormat="false" ht="15" hidden="false" customHeight="false" outlineLevel="0" collapsed="false">
      <c r="A27" s="25" t="s">
        <v>35</v>
      </c>
      <c r="B27" s="26" t="s">
        <v>166</v>
      </c>
      <c r="C27" s="26" t="s">
        <v>94</v>
      </c>
      <c r="D27" s="15" t="n">
        <v>336</v>
      </c>
      <c r="E27" s="26" t="str">
        <f aca="false">IF(D27="","No Data",IF(D27&gt;=$K$2,"Tier A (Top 15%)",IF(D27&gt;=$K$3,"Tier B (Top 40%)",IF(D27&gt;=$K$4,"Tier C (Top 70%)","Tier D (Bottom 30%)"))))</f>
        <v>Tier A (Top 15%)</v>
      </c>
      <c r="F27" s="27" t="n">
        <f aca="false">VLOOKUP(E27,'Bid Tiers (Relative Volume)'!$A$5:$C$9,3,FALSE())</f>
        <v>1.9</v>
      </c>
      <c r="G27" s="14"/>
    </row>
    <row r="28" customFormat="false" ht="15" hidden="false" customHeight="false" outlineLevel="0" collapsed="false">
      <c r="A28" s="25" t="s">
        <v>35</v>
      </c>
      <c r="B28" s="26" t="s">
        <v>119</v>
      </c>
      <c r="C28" s="26" t="s">
        <v>94</v>
      </c>
      <c r="D28" s="15" t="n">
        <v>105</v>
      </c>
      <c r="E28" s="26" t="str">
        <f aca="false">IF(D28="","No Data",IF(D28&gt;=$K$2,"Tier A (Top 15%)",IF(D28&gt;=$K$3,"Tier B (Top 40%)",IF(D28&gt;=$K$4,"Tier C (Top 70%)","Tier D (Bottom 30%)"))))</f>
        <v>Tier C (Top 70%)</v>
      </c>
      <c r="F28" s="27" t="n">
        <f aca="false">VLOOKUP(E28,'Bid Tiers (Relative Volume)'!$A$5:$C$9,3,FALSE())</f>
        <v>0.65</v>
      </c>
      <c r="G28" s="14"/>
    </row>
    <row r="29" customFormat="false" ht="15" hidden="false" customHeight="false" outlineLevel="0" collapsed="false">
      <c r="A29" s="25" t="s">
        <v>35</v>
      </c>
      <c r="B29" s="26" t="s">
        <v>167</v>
      </c>
      <c r="C29" s="26" t="s">
        <v>94</v>
      </c>
      <c r="D29" s="15" t="n">
        <v>20</v>
      </c>
      <c r="E29" s="26" t="str">
        <f aca="false">IF(D29="","No Data",IF(D29&gt;=$K$2,"Tier A (Top 15%)",IF(D29&gt;=$K$3,"Tier B (Top 40%)",IF(D29&gt;=$K$4,"Tier C (Top 70%)","Tier D (Bottom 30%)"))))</f>
        <v>Tier C (Top 70%)</v>
      </c>
      <c r="F29" s="27" t="n">
        <f aca="false">VLOOKUP(E29,'Bid Tiers (Relative Volume)'!$A$5:$C$9,3,FALSE())</f>
        <v>0.65</v>
      </c>
      <c r="G29" s="14"/>
    </row>
    <row r="30" customFormat="false" ht="15" hidden="false" customHeight="false" outlineLevel="0" collapsed="false">
      <c r="A30" s="25" t="s">
        <v>35</v>
      </c>
      <c r="B30" s="26" t="s">
        <v>168</v>
      </c>
      <c r="C30" s="26" t="s">
        <v>94</v>
      </c>
      <c r="D30" s="15" t="n">
        <v>117</v>
      </c>
      <c r="E30" s="26" t="str">
        <f aca="false">IF(D30="","No Data",IF(D30&gt;=$K$2,"Tier A (Top 15%)",IF(D30&gt;=$K$3,"Tier B (Top 40%)",IF(D30&gt;=$K$4,"Tier C (Top 70%)","Tier D (Bottom 30%)"))))</f>
        <v>Tier C (Top 70%)</v>
      </c>
      <c r="F30" s="27" t="n">
        <f aca="false">VLOOKUP(E30,'Bid Tiers (Relative Volume)'!$A$5:$C$9,3,FALSE())</f>
        <v>0.65</v>
      </c>
      <c r="G30" s="14"/>
    </row>
    <row r="31" customFormat="false" ht="15" hidden="false" customHeight="false" outlineLevel="0" collapsed="false">
      <c r="A31" s="25" t="s">
        <v>35</v>
      </c>
      <c r="B31" s="26" t="s">
        <v>169</v>
      </c>
      <c r="C31" s="26" t="s">
        <v>94</v>
      </c>
      <c r="D31" s="15" t="n">
        <v>12</v>
      </c>
      <c r="E31" s="26" t="str">
        <f aca="false">IF(D31="","No Data",IF(D31&gt;=$K$2,"Tier A (Top 15%)",IF(D31&gt;=$K$3,"Tier B (Top 40%)",IF(D31&gt;=$K$4,"Tier C (Top 70%)","Tier D (Bottom 30%)"))))</f>
        <v>Tier C (Top 70%)</v>
      </c>
      <c r="F31" s="27" t="n">
        <f aca="false">VLOOKUP(E31,'Bid Tiers (Relative Volume)'!$A$5:$C$9,3,FALSE())</f>
        <v>0.65</v>
      </c>
      <c r="G31" s="14"/>
    </row>
    <row r="32" customFormat="false" ht="15" hidden="false" customHeight="false" outlineLevel="0" collapsed="false">
      <c r="A32" s="25" t="s">
        <v>35</v>
      </c>
      <c r="B32" s="26" t="s">
        <v>123</v>
      </c>
      <c r="C32" s="26" t="s">
        <v>94</v>
      </c>
      <c r="D32" s="15" t="n">
        <v>19</v>
      </c>
      <c r="E32" s="26" t="str">
        <f aca="false">IF(D32="","No Data",IF(D32&gt;=$K$2,"Tier A (Top 15%)",IF(D32&gt;=$K$3,"Tier B (Top 40%)",IF(D32&gt;=$K$4,"Tier C (Top 70%)","Tier D (Bottom 30%)"))))</f>
        <v>Tier C (Top 70%)</v>
      </c>
      <c r="F32" s="27" t="n">
        <f aca="false">VLOOKUP(E32,'Bid Tiers (Relative Volume)'!$A$5:$C$9,3,FALSE())</f>
        <v>0.65</v>
      </c>
      <c r="G32" s="14"/>
    </row>
    <row r="33" customFormat="false" ht="15" hidden="false" customHeight="false" outlineLevel="0" collapsed="false">
      <c r="A33" s="25" t="s">
        <v>35</v>
      </c>
      <c r="B33" s="26" t="s">
        <v>129</v>
      </c>
      <c r="C33" s="26" t="s">
        <v>94</v>
      </c>
      <c r="D33" s="15" t="n">
        <v>2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35</v>
      </c>
      <c r="B34" s="26" t="s">
        <v>170</v>
      </c>
      <c r="C34" s="26" t="s">
        <v>94</v>
      </c>
      <c r="D34" s="15" t="n">
        <v>0</v>
      </c>
      <c r="E34" s="26" t="str">
        <f aca="false">IF(D34="","No Data",IF(D34&gt;=$K$2,"Tier A (Top 15%)",IF(D34&gt;=$K$3,"Tier B (Top 40%)",IF(D34&gt;=$K$4,"Tier C (Top 70%)","Tier D (Bottom 30%)"))))</f>
        <v>Tier D (Bottom 30%)</v>
      </c>
      <c r="F34" s="27" t="n">
        <f aca="false">VLOOKUP(E34,'Bid Tiers (Relative Volume)'!$A$5:$C$9,3,FALSE())</f>
        <v>0.4</v>
      </c>
      <c r="G34" s="14"/>
    </row>
    <row r="35" customFormat="false" ht="15" hidden="false" customHeight="false" outlineLevel="0" collapsed="false">
      <c r="A35" s="25" t="s">
        <v>38</v>
      </c>
      <c r="B35" s="26" t="s">
        <v>132</v>
      </c>
      <c r="C35" s="26" t="s">
        <v>94</v>
      </c>
      <c r="D35" s="15" t="n">
        <v>197</v>
      </c>
      <c r="E35" s="26" t="str">
        <f aca="false">IF(D35="","No Data",IF(D35&gt;=$K$2,"Tier A (Top 15%)",IF(D35&gt;=$K$3,"Tier B (Top 40%)",IF(D35&gt;=$K$4,"Tier C (Top 70%)","Tier D (Bottom 30%)"))))</f>
        <v>Tier B (Top 40%)</v>
      </c>
      <c r="F35" s="27" t="n">
        <f aca="false">VLOOKUP(E35,'Bid Tiers (Relative Volume)'!$A$5:$C$9,3,FALSE())</f>
        <v>1</v>
      </c>
      <c r="G35" s="14"/>
    </row>
    <row r="36" customFormat="false" ht="15" hidden="false" customHeight="false" outlineLevel="0" collapsed="false">
      <c r="A36" s="25" t="s">
        <v>38</v>
      </c>
      <c r="B36" s="26" t="s">
        <v>133</v>
      </c>
      <c r="C36" s="26" t="s">
        <v>94</v>
      </c>
      <c r="D36" s="15" t="n">
        <v>256</v>
      </c>
      <c r="E36" s="26" t="str">
        <f aca="false">IF(D36="","No Data",IF(D36&gt;=$K$2,"Tier A (Top 15%)",IF(D36&gt;=$K$3,"Tier B (Top 40%)",IF(D36&gt;=$K$4,"Tier C (Top 70%)","Tier D (Bottom 30%)"))))</f>
        <v>Tier A (Top 15%)</v>
      </c>
      <c r="F36" s="27" t="n">
        <f aca="false">VLOOKUP(E36,'Bid Tiers (Relative Volume)'!$A$5:$C$9,3,FALSE())</f>
        <v>1.9</v>
      </c>
      <c r="G36" s="14"/>
    </row>
    <row r="37" customFormat="false" ht="15" hidden="false" customHeight="false" outlineLevel="0" collapsed="false">
      <c r="A37" s="25" t="s">
        <v>38</v>
      </c>
      <c r="B37" s="26" t="s">
        <v>131</v>
      </c>
      <c r="C37" s="26" t="s">
        <v>94</v>
      </c>
      <c r="D37" s="15" t="n">
        <v>205</v>
      </c>
      <c r="E37" s="26" t="str">
        <f aca="false">IF(D37="","No Data",IF(D37&gt;=$K$2,"Tier A (Top 15%)",IF(D37&gt;=$K$3,"Tier B (Top 40%)",IF(D37&gt;=$K$4,"Tier C (Top 70%)","Tier D (Bottom 30%)"))))</f>
        <v>Tier B (Top 40%)</v>
      </c>
      <c r="F37" s="27" t="n">
        <f aca="false">VLOOKUP(E37,'Bid Tiers (Relative Volume)'!$A$5:$C$9,3,FALSE())</f>
        <v>1</v>
      </c>
      <c r="G37" s="14"/>
    </row>
    <row r="38" customFormat="false" ht="15" hidden="false" customHeight="false" outlineLevel="0" collapsed="false">
      <c r="A38" s="25" t="s">
        <v>38</v>
      </c>
      <c r="B38" s="26" t="s">
        <v>171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38</v>
      </c>
      <c r="B39" s="26" t="s">
        <v>172</v>
      </c>
      <c r="C39" s="26" t="s">
        <v>94</v>
      </c>
      <c r="D39" s="15" t="n">
        <v>1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  <row r="40" customFormat="false" ht="15" hidden="false" customHeight="false" outlineLevel="0" collapsed="false">
      <c r="A40" s="25" t="s">
        <v>41</v>
      </c>
      <c r="B40" s="26" t="s">
        <v>137</v>
      </c>
      <c r="C40" s="26" t="s">
        <v>94</v>
      </c>
      <c r="D40" s="15" t="n">
        <v>336</v>
      </c>
      <c r="E40" s="26" t="str">
        <f aca="false">IF(D40="","No Data",IF(D40&gt;=$K$2,"Tier A (Top 15%)",IF(D40&gt;=$K$3,"Tier B (Top 40%)",IF(D40&gt;=$K$4,"Tier C (Top 70%)","Tier D (Bottom 30%)"))))</f>
        <v>Tier A (Top 15%)</v>
      </c>
      <c r="F40" s="27" t="n">
        <f aca="false">VLOOKUP(E40,'Bid Tiers (Relative Volume)'!$A$5:$C$9,3,FALSE())</f>
        <v>1.9</v>
      </c>
      <c r="G40" s="14"/>
    </row>
    <row r="41" customFormat="false" ht="15" hidden="false" customHeight="false" outlineLevel="0" collapsed="false">
      <c r="A41" s="25" t="s">
        <v>41</v>
      </c>
      <c r="B41" s="26" t="s">
        <v>173</v>
      </c>
      <c r="C41" s="26" t="s">
        <v>94</v>
      </c>
      <c r="D41" s="15" t="n">
        <v>277</v>
      </c>
      <c r="E41" s="26" t="str">
        <f aca="false">IF(D41="","No Data",IF(D41&gt;=$K$2,"Tier A (Top 15%)",IF(D41&gt;=$K$3,"Tier B (Top 40%)",IF(D41&gt;=$K$4,"Tier C (Top 70%)","Tier D (Bottom 30%)"))))</f>
        <v>Tier A (Top 15%)</v>
      </c>
      <c r="F41" s="27" t="n">
        <f aca="false">VLOOKUP(E41,'Bid Tiers (Relative Volume)'!$A$5:$C$9,3,FALSE())</f>
        <v>1.9</v>
      </c>
      <c r="G41" s="14"/>
    </row>
    <row r="42" customFormat="false" ht="15" hidden="false" customHeight="false" outlineLevel="0" collapsed="false">
      <c r="A42" s="25" t="s">
        <v>41</v>
      </c>
      <c r="B42" s="26" t="s">
        <v>138</v>
      </c>
      <c r="C42" s="26" t="s">
        <v>94</v>
      </c>
      <c r="D42" s="15" t="n">
        <v>239</v>
      </c>
      <c r="E42" s="26" t="str">
        <f aca="false">IF(D42="","No Data",IF(D42&gt;=$K$2,"Tier A (Top 15%)",IF(D42&gt;=$K$3,"Tier B (Top 40%)",IF(D42&gt;=$K$4,"Tier C (Top 70%)","Tier D (Bottom 30%)"))))</f>
        <v>Tier B (Top 40%)</v>
      </c>
      <c r="F42" s="27" t="n">
        <f aca="false">VLOOKUP(E42,'Bid Tiers (Relative Volume)'!$A$5:$C$9,3,FALSE())</f>
        <v>1</v>
      </c>
      <c r="G42" s="14"/>
    </row>
    <row r="43" customFormat="false" ht="15" hidden="false" customHeight="false" outlineLevel="0" collapsed="false">
      <c r="A43" s="25" t="s">
        <v>41</v>
      </c>
      <c r="B43" s="26" t="s">
        <v>174</v>
      </c>
      <c r="C43" s="26" t="s">
        <v>94</v>
      </c>
      <c r="D43" s="15"/>
      <c r="E43" s="26" t="str">
        <f aca="false">IF(D43="","No Data",IF(D43&gt;=$K$2,"Tier A (Top 15%)",IF(D43&gt;=$K$3,"Tier B (Top 40%)",IF(D43&gt;=$K$4,"Tier C (Top 70%)","Tier D (Bottom 30%)"))))</f>
        <v>No Data</v>
      </c>
      <c r="F43" s="27" t="n">
        <f aca="false">VLOOKUP(E43,'Bid Tiers (Relative Volume)'!$A$5:$C$9,3,FALSE())</f>
        <v>0.2</v>
      </c>
      <c r="G43" s="14"/>
    </row>
    <row r="44" customFormat="false" ht="15" hidden="false" customHeight="false" outlineLevel="0" collapsed="false">
      <c r="A44" s="25" t="s">
        <v>41</v>
      </c>
      <c r="B44" s="26" t="s">
        <v>175</v>
      </c>
      <c r="C44" s="26" t="s">
        <v>94</v>
      </c>
      <c r="D44" s="15" t="n">
        <v>223</v>
      </c>
      <c r="E44" s="26" t="str">
        <f aca="false">IF(D44="","No Data",IF(D44&gt;=$K$2,"Tier A (Top 15%)",IF(D44&gt;=$K$3,"Tier B (Top 40%)",IF(D44&gt;=$K$4,"Tier C (Top 70%)","Tier D (Bottom 30%)"))))</f>
        <v>Tier B (Top 40%)</v>
      </c>
      <c r="F44" s="27" t="n">
        <f aca="false">VLOOKUP(E44,'Bid Tiers (Relative Volume)'!$A$5:$C$9,3,FALSE())</f>
        <v>1</v>
      </c>
      <c r="G44" s="14"/>
    </row>
    <row r="45" customFormat="false" ht="15" hidden="false" customHeight="false" outlineLevel="0" collapsed="false">
      <c r="A45" s="25" t="s">
        <v>41</v>
      </c>
      <c r="B45" s="26" t="s">
        <v>176</v>
      </c>
      <c r="C45" s="26" t="s">
        <v>94</v>
      </c>
      <c r="D45" s="15" t="n">
        <v>213</v>
      </c>
      <c r="E45" s="26" t="str">
        <f aca="false">IF(D45="","No Data",IF(D45&gt;=$K$2,"Tier A (Top 15%)",IF(D45&gt;=$K$3,"Tier B (Top 40%)",IF(D45&gt;=$K$4,"Tier C (Top 70%)","Tier D (Bottom 30%)"))))</f>
        <v>Tier B (Top 40%)</v>
      </c>
      <c r="F45" s="27" t="n">
        <f aca="false">VLOOKUP(E45,'Bid Tiers (Relative Volume)'!$A$5:$C$9,3,FALSE())</f>
        <v>1</v>
      </c>
      <c r="G45" s="14"/>
    </row>
    <row r="46" customFormat="false" ht="15" hidden="false" customHeight="false" outlineLevel="0" collapsed="false">
      <c r="A46" s="25" t="s">
        <v>41</v>
      </c>
      <c r="B46" s="26" t="s">
        <v>177</v>
      </c>
      <c r="C46" s="26" t="s">
        <v>94</v>
      </c>
      <c r="D46" s="15" t="n">
        <v>219</v>
      </c>
      <c r="E46" s="26" t="str">
        <f aca="false">IF(D46="","No Data",IF(D46&gt;=$K$2,"Tier A (Top 15%)",IF(D46&gt;=$K$3,"Tier B (Top 40%)",IF(D46&gt;=$K$4,"Tier C (Top 70%)","Tier D (Bottom 30%)"))))</f>
        <v>Tier B (Top 40%)</v>
      </c>
      <c r="F46" s="27" t="n">
        <f aca="false">VLOOKUP(E46,'Bid Tiers (Relative Volume)'!$A$5:$C$9,3,FALSE())</f>
        <v>1</v>
      </c>
      <c r="G46" s="14"/>
    </row>
    <row r="47" customFormat="false" ht="15" hidden="false" customHeight="false" outlineLevel="0" collapsed="false">
      <c r="A47" s="25" t="s">
        <v>41</v>
      </c>
      <c r="B47" s="26" t="s">
        <v>178</v>
      </c>
      <c r="C47" s="26" t="s">
        <v>94</v>
      </c>
      <c r="D47" s="15" t="n">
        <v>223</v>
      </c>
      <c r="E47" s="26" t="str">
        <f aca="false">IF(D47="","No Data",IF(D47&gt;=$K$2,"Tier A (Top 15%)",IF(D47&gt;=$K$3,"Tier B (Top 40%)",IF(D47&gt;=$K$4,"Tier C (Top 70%)","Tier D (Bottom 30%)"))))</f>
        <v>Tier B (Top 40%)</v>
      </c>
      <c r="F47" s="27" t="n">
        <f aca="false">VLOOKUP(E47,'Bid Tiers (Relative Volume)'!$A$5:$C$9,3,FALSE())</f>
        <v>1</v>
      </c>
      <c r="G47" s="14"/>
    </row>
    <row r="48" customFormat="false" ht="15" hidden="false" customHeight="false" outlineLevel="0" collapsed="false">
      <c r="A48" s="25" t="s">
        <v>41</v>
      </c>
      <c r="B48" s="26" t="s">
        <v>179</v>
      </c>
      <c r="C48" s="26" t="s">
        <v>94</v>
      </c>
      <c r="D48" s="15" t="n">
        <v>123</v>
      </c>
      <c r="E48" s="26" t="str">
        <f aca="false">IF(D48="","No Data",IF(D48&gt;=$K$2,"Tier A (Top 15%)",IF(D48&gt;=$K$3,"Tier B (Top 40%)",IF(D48&gt;=$K$4,"Tier C (Top 70%)","Tier D (Bottom 30%)"))))</f>
        <v>Tier C (Top 70%)</v>
      </c>
      <c r="F48" s="27" t="n">
        <f aca="false">VLOOKUP(E48,'Bid Tiers (Relative Volume)'!$A$5:$C$9,3,FALSE())</f>
        <v>0.65</v>
      </c>
      <c r="G48" s="14"/>
    </row>
    <row r="49" customFormat="false" ht="15" hidden="false" customHeight="false" outlineLevel="0" collapsed="false">
      <c r="A49" s="25" t="s">
        <v>41</v>
      </c>
      <c r="B49" s="26" t="s">
        <v>180</v>
      </c>
      <c r="C49" s="26" t="s">
        <v>94</v>
      </c>
      <c r="D49" s="15" t="n">
        <v>34</v>
      </c>
      <c r="E49" s="26" t="str">
        <f aca="false">IF(D49="","No Data",IF(D49&gt;=$K$2,"Tier A (Top 15%)",IF(D49&gt;=$K$3,"Tier B (Top 40%)",IF(D49&gt;=$K$4,"Tier C (Top 70%)","Tier D (Bottom 30%)"))))</f>
        <v>Tier C (Top 70%)</v>
      </c>
      <c r="F49" s="27" t="n">
        <f aca="false">VLOOKUP(E49,'Bid Tiers (Relative Volume)'!$A$5:$C$9,3,FALSE())</f>
        <v>0.65</v>
      </c>
      <c r="G49" s="14"/>
    </row>
    <row r="50" customFormat="false" ht="15" hidden="false" customHeight="false" outlineLevel="0" collapsed="false">
      <c r="A50" s="25" t="s">
        <v>41</v>
      </c>
      <c r="B50" s="26" t="s">
        <v>142</v>
      </c>
      <c r="C50" s="26" t="s">
        <v>94</v>
      </c>
      <c r="D50" s="15" t="n">
        <v>5</v>
      </c>
      <c r="E50" s="26" t="str">
        <f aca="false">IF(D50="","No Data",IF(D50&gt;=$K$2,"Tier A (Top 15%)",IF(D50&gt;=$K$3,"Tier B (Top 40%)",IF(D50&gt;=$K$4,"Tier C (Top 70%)","Tier D (Bottom 30%)"))))</f>
        <v>Tier C (Top 70%)</v>
      </c>
      <c r="F50" s="27" t="n">
        <f aca="false">VLOOKUP(E50,'Bid Tiers (Relative Volume)'!$A$5:$C$9,3,FALSE())</f>
        <v>0.65</v>
      </c>
      <c r="G50" s="14"/>
    </row>
    <row r="51" customFormat="false" ht="15" hidden="false" customHeight="false" outlineLevel="0" collapsed="false">
      <c r="A51" s="25" t="s">
        <v>41</v>
      </c>
      <c r="B51" s="26" t="s">
        <v>181</v>
      </c>
      <c r="C51" s="26" t="s">
        <v>94</v>
      </c>
      <c r="D51" s="15" t="n">
        <v>2</v>
      </c>
      <c r="E51" s="26" t="str">
        <f aca="false">IF(D51="","No Data",IF(D51&gt;=$K$2,"Tier A (Top 15%)",IF(D51&gt;=$K$3,"Tier B (Top 40%)",IF(D51&gt;=$K$4,"Tier C (Top 70%)","Tier D (Bottom 30%)"))))</f>
        <v>Tier C (Top 70%)</v>
      </c>
      <c r="F51" s="27" t="n">
        <f aca="false">VLOOKUP(E51,'Bid Tiers (Relative Volume)'!$A$5:$C$9,3,FALSE())</f>
        <v>0.65</v>
      </c>
      <c r="G51" s="14"/>
    </row>
    <row r="52" customFormat="false" ht="15" hidden="false" customHeight="false" outlineLevel="0" collapsed="false">
      <c r="A52" s="25" t="s">
        <v>44</v>
      </c>
      <c r="B52" s="26" t="s">
        <v>182</v>
      </c>
      <c r="C52" s="26" t="s">
        <v>94</v>
      </c>
      <c r="D52" s="15" t="n">
        <v>146</v>
      </c>
      <c r="E52" s="26" t="str">
        <f aca="false">IF(D52="","No Data",IF(D52&gt;=$K$2,"Tier A (Top 15%)",IF(D52&gt;=$K$3,"Tier B (Top 40%)",IF(D52&gt;=$K$4,"Tier C (Top 70%)","Tier D (Bottom 30%)"))))</f>
        <v>Tier B (Top 40%)</v>
      </c>
      <c r="F52" s="27" t="n">
        <f aca="false">VLOOKUP(E52,'Bid Tiers (Relative Volume)'!$A$5:$C$9,3,FALSE())</f>
        <v>1</v>
      </c>
      <c r="G52" s="14"/>
    </row>
    <row r="53" customFormat="false" ht="46.25" hidden="false" customHeight="false" outlineLevel="0" collapsed="false">
      <c r="A53" s="25" t="s">
        <v>44</v>
      </c>
      <c r="B53" s="26" t="s">
        <v>149</v>
      </c>
      <c r="C53" s="26" t="s">
        <v>94</v>
      </c>
      <c r="D53" s="15" t="n">
        <v>13</v>
      </c>
      <c r="E53" s="26" t="str">
        <f aca="false">IF(D53="","No Data",IF(D53&gt;=$K$2,"Tier A (Top 15%)",IF(D53&gt;=$K$3,"Tier B (Top 40%)",IF(D53&gt;=$K$4,"Tier C (Top 70%)","Tier D (Bottom 30%)"))))</f>
        <v>Tier C (Top 70%)</v>
      </c>
      <c r="F53" s="27" t="n">
        <f aca="false">VLOOKUP(E53,'Bid Tiers (Relative Volume)'!$A$5:$C$9,3,FALSE())</f>
        <v>0.65</v>
      </c>
      <c r="G53" s="14" t="s">
        <v>150</v>
      </c>
    </row>
    <row r="54" customFormat="false" ht="15" hidden="false" customHeight="false" outlineLevel="0" collapsed="false">
      <c r="A54" s="25" t="s">
        <v>44</v>
      </c>
      <c r="B54" s="26" t="s">
        <v>151</v>
      </c>
      <c r="C54" s="26" t="s">
        <v>94</v>
      </c>
      <c r="D54" s="15" t="n">
        <v>0</v>
      </c>
      <c r="E54" s="26" t="str">
        <f aca="false">IF(D54="","No Data",IF(D54&gt;=$K$2,"Tier A (Top 15%)",IF(D54&gt;=$K$3,"Tier B (Top 40%)",IF(D54&gt;=$K$4,"Tier C (Top 70%)","Tier D (Bottom 30%)"))))</f>
        <v>Tier D (Bottom 30%)</v>
      </c>
      <c r="F54" s="27" t="n">
        <f aca="false">VLOOKUP(E54,'Bid Tiers (Relative Volume)'!$A$5:$C$9,3,FALSE())</f>
        <v>0.4</v>
      </c>
      <c r="G54" s="14"/>
    </row>
    <row r="55" customFormat="false" ht="15" hidden="false" customHeight="false" outlineLevel="0" collapsed="false">
      <c r="A55" s="25" t="s">
        <v>44</v>
      </c>
      <c r="B55" s="26" t="s">
        <v>146</v>
      </c>
      <c r="C55" s="26" t="s">
        <v>94</v>
      </c>
      <c r="D55" s="15" t="n">
        <v>0</v>
      </c>
      <c r="E55" s="26" t="str">
        <f aca="false">IF(D55="","No Data",IF(D55&gt;=$K$2,"Tier A (Top 15%)",IF(D55&gt;=$K$3,"Tier B (Top 40%)",IF(D55&gt;=$K$4,"Tier C (Top 70%)","Tier D (Bottom 30%)"))))</f>
        <v>Tier D (Bottom 30%)</v>
      </c>
      <c r="F55" s="27" t="n">
        <f aca="false">VLOOKUP(E55,'Bid Tiers (Relative Volume)'!$A$5:$C$9,3,FALSE())</f>
        <v>0.4</v>
      </c>
      <c r="G55" s="14"/>
    </row>
    <row r="56" customFormat="false" ht="15" hidden="false" customHeight="false" outlineLevel="0" collapsed="false">
      <c r="A56" s="25" t="s">
        <v>47</v>
      </c>
      <c r="B56" s="26" t="s">
        <v>152</v>
      </c>
      <c r="C56" s="26" t="s">
        <v>94</v>
      </c>
      <c r="D56" s="15" t="n">
        <v>176</v>
      </c>
      <c r="E56" s="26" t="str">
        <f aca="false">IF(D56="","No Data",IF(D56&gt;=$K$2,"Tier A (Top 15%)",IF(D56&gt;=$K$3,"Tier B (Top 40%)",IF(D56&gt;=$K$4,"Tier C (Top 70%)","Tier D (Bottom 30%)"))))</f>
        <v>Tier B (Top 40%)</v>
      </c>
      <c r="F56" s="27" t="n">
        <f aca="false">VLOOKUP(E56,'Bid Tiers (Relative Volume)'!$A$5:$C$9,3,FALSE())</f>
        <v>1</v>
      </c>
      <c r="G56" s="14"/>
    </row>
    <row r="57" customFormat="false" ht="15" hidden="false" customHeight="false" outlineLevel="0" collapsed="false">
      <c r="A57" s="25" t="s">
        <v>47</v>
      </c>
      <c r="B57" s="26" t="s">
        <v>183</v>
      </c>
      <c r="C57" s="26" t="s">
        <v>94</v>
      </c>
      <c r="D57" s="15" t="n">
        <v>2</v>
      </c>
      <c r="E57" s="26" t="str">
        <f aca="false">IF(D57="","No Data",IF(D57&gt;=$K$2,"Tier A (Top 15%)",IF(D57&gt;=$K$3,"Tier B (Top 40%)",IF(D57&gt;=$K$4,"Tier C (Top 70%)","Tier D (Bottom 30%)"))))</f>
        <v>Tier C (Top 70%)</v>
      </c>
      <c r="F57" s="27" t="n">
        <f aca="false">VLOOKUP(E57,'Bid Tiers (Relative Volume)'!$A$5:$C$9,3,FALSE())</f>
        <v>0.65</v>
      </c>
      <c r="G57" s="14"/>
    </row>
    <row r="58" customFormat="false" ht="15" hidden="false" customHeight="false" outlineLevel="0" collapsed="false">
      <c r="A58" s="25" t="s">
        <v>50</v>
      </c>
      <c r="B58" s="26" t="s">
        <v>184</v>
      </c>
      <c r="C58" s="26" t="s">
        <v>94</v>
      </c>
      <c r="D58" s="15" t="n">
        <v>146</v>
      </c>
      <c r="E58" s="26" t="str">
        <f aca="false">IF(D58="","No Data",IF(D58&gt;=$K$2,"Tier A (Top 15%)",IF(D58&gt;=$K$3,"Tier B (Top 40%)",IF(D58&gt;=$K$4,"Tier C (Top 70%)","Tier D (Bottom 30%)"))))</f>
        <v>Tier B (Top 40%)</v>
      </c>
      <c r="F58" s="27" t="n">
        <f aca="false">VLOOKUP(E58,'Bid Tiers (Relative Volume)'!$A$5:$C$9,3,FALSE())</f>
        <v>1</v>
      </c>
      <c r="G58" s="14"/>
    </row>
    <row r="59" customFormat="false" ht="15" hidden="false" customHeight="false" outlineLevel="0" collapsed="false">
      <c r="A59" s="25" t="s">
        <v>50</v>
      </c>
      <c r="B59" s="26" t="s">
        <v>185</v>
      </c>
      <c r="C59" s="26" t="s">
        <v>94</v>
      </c>
      <c r="D59" s="15" t="n">
        <v>105</v>
      </c>
      <c r="E59" s="26" t="str">
        <f aca="false">IF(D59="","No Data",IF(D59&gt;=$K$2,"Tier A (Top 15%)",IF(D59&gt;=$K$3,"Tier B (Top 40%)",IF(D59&gt;=$K$4,"Tier C (Top 70%)","Tier D (Bottom 30%)"))))</f>
        <v>Tier C (Top 70%)</v>
      </c>
      <c r="F59" s="27" t="n">
        <f aca="false">VLOOKUP(E59,'Bid Tiers (Relative Volume)'!$A$5:$C$9,3,FALSE())</f>
        <v>0.65</v>
      </c>
      <c r="G59" s="14"/>
    </row>
  </sheetData>
  <autoFilter ref="A3:G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186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10670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1780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20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189</v>
      </c>
      <c r="C8" s="26" t="s">
        <v>94</v>
      </c>
      <c r="D8" s="15" t="n">
        <v>9900</v>
      </c>
      <c r="E8" s="26" t="str">
        <f aca="false">IF(D8="","No Data",IF(D8&gt;=$K$2,"Tier A (Top 15%)",IF(D8&gt;=$K$3,"Tier B (Top 40%)",IF(D8&gt;=$K$4,"Tier C (Top 70%)","Tier D (Bottom 30%)"))))</f>
        <v>Tier B (Top 40%)</v>
      </c>
      <c r="F8" s="27" t="n">
        <f aca="false">VLOOKUP(E8,'Bid Tiers (Relative Volume)'!$A$5:$C$9,3,FALSE())</f>
        <v>1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8100</v>
      </c>
      <c r="E9" s="26" t="str">
        <f aca="false">IF(D9="","No Data",IF(D9&gt;=$K$2,"Tier A (Top 15%)",IF(D9&gt;=$K$3,"Tier B (Top 40%)",IF(D9&gt;=$K$4,"Tier C (Top 70%)","Tier D (Bottom 30%)"))))</f>
        <v>Tier B (Top 40%)</v>
      </c>
      <c r="F9" s="27" t="n">
        <f aca="false">VLOOKUP(E9,'Bid Tiers (Relative Volume)'!$A$5:$C$9,3,FALSE())</f>
        <v>1</v>
      </c>
      <c r="G9" s="14"/>
    </row>
    <row r="10" customFormat="false" ht="15" hidden="false" customHeight="false" outlineLevel="0" collapsed="false">
      <c r="A10" s="25" t="s">
        <v>32</v>
      </c>
      <c r="B10" s="26" t="s">
        <v>107</v>
      </c>
      <c r="C10" s="26" t="s">
        <v>94</v>
      </c>
      <c r="D10" s="15" t="n">
        <v>14800</v>
      </c>
      <c r="E10" s="26" t="str">
        <f aca="false">IF(D10="","No Data",IF(D10&gt;=$K$2,"Tier A (Top 15%)",IF(D10&gt;=$K$3,"Tier B (Top 40%)",IF(D10&gt;=$K$4,"Tier C (Top 70%)","Tier D (Bottom 30%)"))))</f>
        <v>Tier A (Top 15%)</v>
      </c>
      <c r="F10" s="27" t="n">
        <f aca="false">VLOOKUP(E10,'Bid Tiers (Relative Volume)'!$A$5:$C$9,3,FALSE())</f>
        <v>1.9</v>
      </c>
      <c r="G10" s="14"/>
    </row>
    <row r="11" customFormat="false" ht="15" hidden="false" customHeight="false" outlineLevel="0" collapsed="false">
      <c r="A11" s="25" t="s">
        <v>32</v>
      </c>
      <c r="B11" s="26" t="s">
        <v>191</v>
      </c>
      <c r="C11" s="26" t="s">
        <v>94</v>
      </c>
      <c r="D11" s="15" t="n">
        <v>6600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192</v>
      </c>
      <c r="C12" s="26" t="s">
        <v>94</v>
      </c>
      <c r="D12" s="15" t="n">
        <v>4400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193</v>
      </c>
      <c r="C13" s="26" t="s">
        <v>94</v>
      </c>
      <c r="D13" s="15" t="n">
        <v>2900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194</v>
      </c>
      <c r="C14" s="26" t="s">
        <v>94</v>
      </c>
      <c r="D14" s="15" t="n">
        <v>1300</v>
      </c>
      <c r="E14" s="26" t="str">
        <f aca="false">IF(D14="","No Data",IF(D14&gt;=$K$2,"Tier A (Top 15%)",IF(D14&gt;=$K$3,"Tier B (Top 40%)",IF(D14&gt;=$K$4,"Tier C (Top 70%)","Tier D (Bottom 30%)"))))</f>
        <v>Tier C (Top 70%)</v>
      </c>
      <c r="F14" s="27" t="n">
        <f aca="false">VLOOKUP(E14,'Bid Tiers (Relative Volume)'!$A$5:$C$9,3,FALSE())</f>
        <v>0.65</v>
      </c>
      <c r="G14" s="14"/>
    </row>
    <row r="15" customFormat="false" ht="15" hidden="false" customHeight="false" outlineLevel="0" collapsed="false">
      <c r="A15" s="25" t="s">
        <v>32</v>
      </c>
      <c r="B15" s="26" t="s">
        <v>195</v>
      </c>
      <c r="C15" s="26" t="s">
        <v>94</v>
      </c>
      <c r="D15" s="15" t="n">
        <v>1000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196</v>
      </c>
      <c r="C16" s="26" t="s">
        <v>94</v>
      </c>
      <c r="D16" s="15" t="n">
        <v>880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197</v>
      </c>
      <c r="C17" s="26" t="s">
        <v>94</v>
      </c>
      <c r="D17" s="15" t="n">
        <v>20</v>
      </c>
      <c r="E17" s="26" t="str">
        <f aca="false">IF(D17="","No Data",IF(D17&gt;=$K$2,"Tier A (Top 15%)",IF(D17&gt;=$K$3,"Tier B (Top 40%)",IF(D17&gt;=$K$4,"Tier C (Top 70%)","Tier D (Bottom 30%)"))))</f>
        <v>Tier C (Top 70%)</v>
      </c>
      <c r="F17" s="27" t="n">
        <f aca="false">VLOOKUP(E17,'Bid Tiers (Relative Volume)'!$A$5:$C$9,3,FALSE())</f>
        <v>0.65</v>
      </c>
      <c r="G17" s="14"/>
    </row>
    <row r="18" customFormat="false" ht="15" hidden="false" customHeight="false" outlineLevel="0" collapsed="false">
      <c r="A18" s="25" t="s">
        <v>32</v>
      </c>
      <c r="B18" s="26" t="s">
        <v>198</v>
      </c>
      <c r="C18" s="26" t="s">
        <v>94</v>
      </c>
      <c r="D18" s="15" t="n">
        <v>0</v>
      </c>
      <c r="E18" s="26" t="str">
        <f aca="false">IF(D18="","No Data",IF(D18&gt;=$K$2,"Tier A (Top 15%)",IF(D18&gt;=$K$3,"Tier B (Top 40%)",IF(D18&gt;=$K$4,"Tier C (Top 70%)","Tier D (Bottom 30%)"))))</f>
        <v>Tier D (Bottom 30%)</v>
      </c>
      <c r="F18" s="27" t="n">
        <f aca="false">VLOOKUP(E18,'Bid Tiers (Relative Volume)'!$A$5:$C$9,3,FALSE())</f>
        <v>0.4</v>
      </c>
      <c r="G18" s="14"/>
    </row>
    <row r="19" customFormat="false" ht="15" hidden="false" customHeight="false" outlineLevel="0" collapsed="false">
      <c r="A19" s="25" t="s">
        <v>35</v>
      </c>
      <c r="B19" s="26" t="s">
        <v>166</v>
      </c>
      <c r="C19" s="26" t="s">
        <v>94</v>
      </c>
      <c r="D19" s="15" t="n">
        <v>18100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199</v>
      </c>
      <c r="C20" s="26" t="s">
        <v>94</v>
      </c>
      <c r="D20" s="15" t="n">
        <v>12100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200</v>
      </c>
      <c r="C21" s="26" t="s">
        <v>94</v>
      </c>
      <c r="D21" s="15" t="n">
        <v>12100</v>
      </c>
      <c r="E21" s="26" t="str">
        <f aca="false">IF(D21="","No Data",IF(D21&gt;=$K$2,"Tier A (Top 15%)",IF(D21&gt;=$K$3,"Tier B (Top 40%)",IF(D21&gt;=$K$4,"Tier C (Top 70%)","Tier D (Bottom 30%)"))))</f>
        <v>Tier A (Top 15%)</v>
      </c>
      <c r="F21" s="27" t="n">
        <f aca="false">VLOOKUP(E21,'Bid Tiers (Relative Volume)'!$A$5:$C$9,3,FALSE())</f>
        <v>1.9</v>
      </c>
      <c r="G21" s="14"/>
    </row>
    <row r="22" customFormat="false" ht="15" hidden="false" customHeight="false" outlineLevel="0" collapsed="false">
      <c r="A22" s="25" t="s">
        <v>35</v>
      </c>
      <c r="B22" s="26" t="s">
        <v>201</v>
      </c>
      <c r="C22" s="26" t="s">
        <v>94</v>
      </c>
      <c r="D22" s="15" t="n">
        <v>1900</v>
      </c>
      <c r="E22" s="26" t="str">
        <f aca="false">IF(D22="","No Data",IF(D22&gt;=$K$2,"Tier A (Top 15%)",IF(D22&gt;=$K$3,"Tier B (Top 40%)",IF(D22&gt;=$K$4,"Tier C (Top 70%)","Tier D (Bottom 30%)"))))</f>
        <v>Tier B (Top 40%)</v>
      </c>
      <c r="F22" s="27" t="n">
        <f aca="false">VLOOKUP(E22,'Bid Tiers (Relative Volume)'!$A$5:$C$9,3,FALSE())</f>
        <v>1</v>
      </c>
      <c r="G22" s="14"/>
    </row>
    <row r="23" customFormat="false" ht="15" hidden="false" customHeight="false" outlineLevel="0" collapsed="false">
      <c r="A23" s="25" t="s">
        <v>35</v>
      </c>
      <c r="B23" s="26" t="s">
        <v>202</v>
      </c>
      <c r="C23" s="26" t="s">
        <v>94</v>
      </c>
      <c r="D23" s="15" t="n">
        <v>590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203</v>
      </c>
      <c r="C24" s="26" t="s">
        <v>94</v>
      </c>
      <c r="D24" s="15" t="n">
        <v>20</v>
      </c>
      <c r="E24" s="26" t="str">
        <f aca="false">IF(D24="","No Data",IF(D24&gt;=$K$2,"Tier A (Top 15%)",IF(D24&gt;=$K$3,"Tier B (Top 40%)",IF(D24&gt;=$K$4,"Tier C (Top 70%)","Tier D (Bottom 30%)"))))</f>
        <v>Tier C (Top 70%)</v>
      </c>
      <c r="F24" s="27" t="n">
        <f aca="false">VLOOKUP(E24,'Bid Tiers (Relative Volume)'!$A$5:$C$9,3,FALSE())</f>
        <v>0.65</v>
      </c>
      <c r="G24" s="14"/>
    </row>
    <row r="25" customFormat="false" ht="15" hidden="false" customHeight="false" outlineLevel="0" collapsed="false">
      <c r="A25" s="25" t="s">
        <v>35</v>
      </c>
      <c r="B25" s="26" t="s">
        <v>204</v>
      </c>
      <c r="C25" s="26" t="s">
        <v>94</v>
      </c>
      <c r="D25" s="15" t="n">
        <v>0</v>
      </c>
      <c r="E25" s="26" t="str">
        <f aca="false">IF(D25="","No Data",IF(D25&gt;=$K$2,"Tier A (Top 15%)",IF(D25&gt;=$K$3,"Tier B (Top 40%)",IF(D25&gt;=$K$4,"Tier C (Top 70%)","Tier D (Bottom 30%)"))))</f>
        <v>Tier D (Bottom 30%)</v>
      </c>
      <c r="F25" s="27" t="n">
        <f aca="false">VLOOKUP(E25,'Bid Tiers (Relative Volume)'!$A$5:$C$9,3,FALSE())</f>
        <v>0.4</v>
      </c>
      <c r="G25" s="14"/>
    </row>
    <row r="26" customFormat="false" ht="15" hidden="false" customHeight="false" outlineLevel="0" collapsed="false">
      <c r="A26" s="25" t="s">
        <v>35</v>
      </c>
      <c r="B26" s="26" t="s">
        <v>205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D (Bottom 30%)</v>
      </c>
      <c r="F26" s="27" t="n">
        <f aca="false">VLOOKUP(E26,'Bid Tiers (Relative Volume)'!$A$5:$C$9,3,FALSE())</f>
        <v>0.4</v>
      </c>
      <c r="G26" s="14"/>
    </row>
    <row r="27" customFormat="false" ht="15" hidden="false" customHeight="false" outlineLevel="0" collapsed="false">
      <c r="A27" s="25" t="s">
        <v>35</v>
      </c>
      <c r="B27" s="26" t="s">
        <v>206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D (Bottom 30%)</v>
      </c>
      <c r="F27" s="27" t="n">
        <f aca="false">VLOOKUP(E27,'Bid Tiers (Relative Volume)'!$A$5:$C$9,3,FALSE())</f>
        <v>0.4</v>
      </c>
      <c r="G27" s="14"/>
    </row>
    <row r="28" customFormat="false" ht="15" hidden="false" customHeight="false" outlineLevel="0" collapsed="false">
      <c r="A28" s="25" t="s">
        <v>38</v>
      </c>
      <c r="B28" s="26" t="s">
        <v>207</v>
      </c>
      <c r="C28" s="26" t="s">
        <v>94</v>
      </c>
      <c r="D28" s="15" t="n">
        <v>1900</v>
      </c>
      <c r="E28" s="26" t="str">
        <f aca="false">IF(D28="","No Data",IF(D28&gt;=$K$2,"Tier A (Top 15%)",IF(D28&gt;=$K$3,"Tier B (Top 40%)",IF(D28&gt;=$K$4,"Tier C (Top 70%)","Tier D (Bottom 30%)"))))</f>
        <v>Tier B (Top 40%)</v>
      </c>
      <c r="F28" s="27" t="n">
        <f aca="false">VLOOKUP(E28,'Bid Tiers (Relative Volume)'!$A$5:$C$9,3,FALSE())</f>
        <v>1</v>
      </c>
      <c r="G28" s="14"/>
    </row>
    <row r="29" customFormat="false" ht="15" hidden="false" customHeight="false" outlineLevel="0" collapsed="false">
      <c r="A29" s="25" t="s">
        <v>38</v>
      </c>
      <c r="B29" s="26" t="s">
        <v>208</v>
      </c>
      <c r="C29" s="26" t="s">
        <v>94</v>
      </c>
      <c r="D29" s="15" t="n">
        <v>20</v>
      </c>
      <c r="E29" s="26" t="str">
        <f aca="false">IF(D29="","No Data",IF(D29&gt;=$K$2,"Tier A (Top 15%)",IF(D29&gt;=$K$3,"Tier B (Top 40%)",IF(D29&gt;=$K$4,"Tier C (Top 70%)","Tier D (Bottom 30%)"))))</f>
        <v>Tier C (Top 70%)</v>
      </c>
      <c r="F29" s="27" t="n">
        <f aca="false">VLOOKUP(E29,'Bid Tiers (Relative Volume)'!$A$5:$C$9,3,FALSE())</f>
        <v>0.65</v>
      </c>
      <c r="G29" s="14"/>
    </row>
    <row r="30" customFormat="false" ht="15" hidden="false" customHeight="false" outlineLevel="0" collapsed="false">
      <c r="A30" s="25" t="s">
        <v>41</v>
      </c>
      <c r="B30" s="26" t="s">
        <v>209</v>
      </c>
      <c r="C30" s="26" t="s">
        <v>94</v>
      </c>
      <c r="D30" s="15" t="n">
        <v>12100</v>
      </c>
      <c r="E30" s="26" t="str">
        <f aca="false">IF(D30="","No Data",IF(D30&gt;=$K$2,"Tier A (Top 15%)",IF(D30&gt;=$K$3,"Tier B (Top 40%)",IF(D30&gt;=$K$4,"Tier C (Top 70%)","Tier D (Bottom 30%)"))))</f>
        <v>Tier A (Top 15%)</v>
      </c>
      <c r="F30" s="27" t="n">
        <f aca="false">VLOOKUP(E30,'Bid Tiers (Relative Volume)'!$A$5:$C$9,3,FALSE())</f>
        <v>1.9</v>
      </c>
      <c r="G30" s="14"/>
    </row>
    <row r="31" customFormat="false" ht="15" hidden="false" customHeight="false" outlineLevel="0" collapsed="false">
      <c r="A31" s="25" t="s">
        <v>41</v>
      </c>
      <c r="B31" s="26" t="s">
        <v>210</v>
      </c>
      <c r="C31" s="26" t="s">
        <v>94</v>
      </c>
      <c r="D31" s="15" t="n">
        <v>8100</v>
      </c>
      <c r="E31" s="26" t="str">
        <f aca="false">IF(D31="","No Data",IF(D31&gt;=$K$2,"Tier A (Top 15%)",IF(D31&gt;=$K$3,"Tier B (Top 40%)",IF(D31&gt;=$K$4,"Tier C (Top 70%)","Tier D (Bottom 30%)"))))</f>
        <v>Tier B (Top 40%)</v>
      </c>
      <c r="F31" s="27" t="n">
        <f aca="false">VLOOKUP(E31,'Bid Tiers (Relative Volume)'!$A$5:$C$9,3,FALSE())</f>
        <v>1</v>
      </c>
      <c r="G31" s="14"/>
    </row>
    <row r="32" customFormat="false" ht="15" hidden="false" customHeight="false" outlineLevel="0" collapsed="false">
      <c r="A32" s="25" t="s">
        <v>41</v>
      </c>
      <c r="B32" s="26" t="s">
        <v>211</v>
      </c>
      <c r="C32" s="26" t="s">
        <v>94</v>
      </c>
      <c r="D32" s="15" t="n">
        <v>1600</v>
      </c>
      <c r="E32" s="26" t="str">
        <f aca="false">IF(D32="","No Data",IF(D32&gt;=$K$2,"Tier A (Top 15%)",IF(D32&gt;=$K$3,"Tier B (Top 40%)",IF(D32&gt;=$K$4,"Tier C (Top 70%)","Tier D (Bottom 30%)"))))</f>
        <v>Tier C (Top 70%)</v>
      </c>
      <c r="F32" s="27" t="n">
        <f aca="false">VLOOKUP(E32,'Bid Tiers (Relative Volume)'!$A$5:$C$9,3,FALSE())</f>
        <v>0.65</v>
      </c>
      <c r="G32" s="14"/>
    </row>
    <row r="33" customFormat="false" ht="15" hidden="false" customHeight="false" outlineLevel="0" collapsed="false">
      <c r="A33" s="25" t="s">
        <v>41</v>
      </c>
      <c r="B33" s="26" t="s">
        <v>212</v>
      </c>
      <c r="C33" s="26" t="s">
        <v>94</v>
      </c>
      <c r="D33" s="15" t="n">
        <v>590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213</v>
      </c>
      <c r="C34" s="26" t="s">
        <v>94</v>
      </c>
      <c r="D34" s="15" t="n">
        <v>70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214</v>
      </c>
      <c r="C35" s="26" t="s">
        <v>94</v>
      </c>
      <c r="D35" s="15" t="n">
        <v>50</v>
      </c>
      <c r="E35" s="26" t="str">
        <f aca="false">IF(D35="","No Data",IF(D35&gt;=$K$2,"Tier A (Top 15%)",IF(D35&gt;=$K$3,"Tier B (Top 40%)",IF(D35&gt;=$K$4,"Tier C (Top 70%)","Tier D (Bottom 30%)"))))</f>
        <v>Tier C (Top 70%)</v>
      </c>
      <c r="F35" s="27" t="n">
        <f aca="false">VLOOKUP(E35,'Bid Tiers (Relative Volume)'!$A$5:$C$9,3,FALSE())</f>
        <v>0.65</v>
      </c>
      <c r="G35" s="14"/>
    </row>
    <row r="36" customFormat="false" ht="15" hidden="false" customHeight="false" outlineLevel="0" collapsed="false">
      <c r="A36" s="25" t="s">
        <v>41</v>
      </c>
      <c r="B36" s="26" t="s">
        <v>215</v>
      </c>
      <c r="C36" s="26" t="s">
        <v>94</v>
      </c>
      <c r="D36" s="15" t="n">
        <v>20</v>
      </c>
      <c r="E36" s="26" t="str">
        <f aca="false">IF(D36="","No Data",IF(D36&gt;=$K$2,"Tier A (Top 15%)",IF(D36&gt;=$K$3,"Tier B (Top 40%)",IF(D36&gt;=$K$4,"Tier C (Top 70%)","Tier D (Bottom 30%)"))))</f>
        <v>Tier C (Top 70%)</v>
      </c>
      <c r="F36" s="27" t="n">
        <f aca="false">VLOOKUP(E36,'Bid Tiers (Relative Volume)'!$A$5:$C$9,3,FALSE())</f>
        <v>0.65</v>
      </c>
      <c r="G36" s="14"/>
    </row>
    <row r="37" customFormat="false" ht="15" hidden="false" customHeight="false" outlineLevel="0" collapsed="false">
      <c r="A37" s="25" t="s">
        <v>41</v>
      </c>
      <c r="B37" s="26" t="s">
        <v>216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D (Bottom 30%)</v>
      </c>
      <c r="F37" s="27" t="n">
        <f aca="false">VLOOKUP(E37,'Bid Tiers (Relative Volume)'!$A$5:$C$9,3,FALSE())</f>
        <v>0.4</v>
      </c>
      <c r="G37" s="14"/>
    </row>
    <row r="38" customFormat="false" ht="15" hidden="false" customHeight="false" outlineLevel="0" collapsed="false">
      <c r="A38" s="25" t="s">
        <v>41</v>
      </c>
      <c r="B38" s="26" t="s">
        <v>217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44</v>
      </c>
      <c r="B39" s="26" t="s">
        <v>218</v>
      </c>
      <c r="C39" s="26" t="s">
        <v>94</v>
      </c>
      <c r="D39" s="15" t="n">
        <v>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219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14200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7019.99999999999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119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135000</v>
      </c>
      <c r="E8" s="26" t="str">
        <f aca="false">IF(D8="","No Data",IF(D8&gt;=$K$2,"Tier A (Top 15%)",IF(D8&gt;=$K$3,"Tier B (Top 40%)",IF(D8&gt;=$K$4,"Tier C (Top 70%)","Tier D (Bottom 30%)"))))</f>
        <v>Tier A (Top 15%)</v>
      </c>
      <c r="F8" s="27" t="n">
        <f aca="false">VLOOKUP(E8,'Bid Tiers (Relative Volume)'!$A$5:$C$9,3,FALSE())</f>
        <v>1.9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8100</v>
      </c>
      <c r="E9" s="26" t="str">
        <f aca="false">IF(D9="","No Data",IF(D9&gt;=$K$2,"Tier A (Top 15%)",IF(D9&gt;=$K$3,"Tier B (Top 40%)",IF(D9&gt;=$K$4,"Tier C (Top 70%)","Tier D (Bottom 30%)"))))</f>
        <v>Tier B (Top 40%)</v>
      </c>
      <c r="F9" s="27" t="n">
        <f aca="false">VLOOKUP(E9,'Bid Tiers (Relative Volume)'!$A$5:$C$9,3,FALSE())</f>
        <v>1</v>
      </c>
      <c r="G9" s="14"/>
    </row>
    <row r="10" customFormat="false" ht="15" hidden="false" customHeight="false" outlineLevel="0" collapsed="false">
      <c r="A10" s="25" t="s">
        <v>32</v>
      </c>
      <c r="B10" s="26" t="s">
        <v>220</v>
      </c>
      <c r="C10" s="26" t="s">
        <v>94</v>
      </c>
      <c r="D10" s="15" t="n">
        <v>12100</v>
      </c>
      <c r="E10" s="26" t="str">
        <f aca="false">IF(D10="","No Data",IF(D10&gt;=$K$2,"Tier A (Top 15%)",IF(D10&gt;=$K$3,"Tier B (Top 40%)",IF(D10&gt;=$K$4,"Tier C (Top 70%)","Tier D (Bottom 30%)"))))</f>
        <v>Tier B (Top 40%)</v>
      </c>
      <c r="F10" s="27" t="n">
        <f aca="false">VLOOKUP(E10,'Bid Tiers (Relative Volume)'!$A$5:$C$9,3,FALSE())</f>
        <v>1</v>
      </c>
      <c r="G10" s="14"/>
    </row>
    <row r="11" customFormat="false" ht="15" hidden="false" customHeight="false" outlineLevel="0" collapsed="false">
      <c r="A11" s="25" t="s">
        <v>32</v>
      </c>
      <c r="B11" s="26" t="s">
        <v>107</v>
      </c>
      <c r="C11" s="26" t="s">
        <v>94</v>
      </c>
      <c r="D11" s="15" t="n">
        <v>9900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221</v>
      </c>
      <c r="C12" s="26" t="s">
        <v>94</v>
      </c>
      <c r="D12" s="15" t="n">
        <v>9900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222</v>
      </c>
      <c r="C13" s="26" t="s">
        <v>94</v>
      </c>
      <c r="D13" s="15" t="n">
        <v>8100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159</v>
      </c>
      <c r="C14" s="26" t="s">
        <v>94</v>
      </c>
      <c r="D14" s="15" t="n">
        <v>5400</v>
      </c>
      <c r="E14" s="26" t="str">
        <f aca="false">IF(D14="","No Data",IF(D14&gt;=$K$2,"Tier A (Top 15%)",IF(D14&gt;=$K$3,"Tier B (Top 40%)",IF(D14&gt;=$K$4,"Tier C (Top 70%)","Tier D (Bottom 30%)"))))</f>
        <v>Tier C (Top 70%)</v>
      </c>
      <c r="F14" s="27" t="n">
        <f aca="false">VLOOKUP(E14,'Bid Tiers (Relative Volume)'!$A$5:$C$9,3,FALSE())</f>
        <v>0.65</v>
      </c>
      <c r="G14" s="14"/>
    </row>
    <row r="15" customFormat="false" ht="15" hidden="false" customHeight="false" outlineLevel="0" collapsed="false">
      <c r="A15" s="25" t="s">
        <v>32</v>
      </c>
      <c r="B15" s="26" t="s">
        <v>223</v>
      </c>
      <c r="C15" s="26" t="s">
        <v>94</v>
      </c>
      <c r="D15" s="15" t="n">
        <v>4400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224</v>
      </c>
      <c r="C16" s="26" t="s">
        <v>94</v>
      </c>
      <c r="D16" s="15" t="n">
        <v>1000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225</v>
      </c>
      <c r="C17" s="26" t="s">
        <v>94</v>
      </c>
      <c r="D17" s="15" t="n">
        <v>140</v>
      </c>
      <c r="E17" s="26" t="str">
        <f aca="false">IF(D17="","No Data",IF(D17&gt;=$K$2,"Tier A (Top 15%)",IF(D17&gt;=$K$3,"Tier B (Top 40%)",IF(D17&gt;=$K$4,"Tier C (Top 70%)","Tier D (Bottom 30%)"))))</f>
        <v>Tier C (Top 70%)</v>
      </c>
      <c r="F17" s="27" t="n">
        <f aca="false">VLOOKUP(E17,'Bid Tiers (Relative Volume)'!$A$5:$C$9,3,FALSE())</f>
        <v>0.65</v>
      </c>
      <c r="G17" s="14"/>
    </row>
    <row r="18" customFormat="false" ht="15" hidden="false" customHeight="false" outlineLevel="0" collapsed="false">
      <c r="A18" s="25" t="s">
        <v>32</v>
      </c>
      <c r="B18" s="26" t="s">
        <v>226</v>
      </c>
      <c r="C18" s="26" t="s">
        <v>94</v>
      </c>
      <c r="D18" s="15" t="n">
        <v>20</v>
      </c>
      <c r="E18" s="26" t="str">
        <f aca="false">IF(D18="","No Data",IF(D18&gt;=$K$2,"Tier A (Top 15%)",IF(D18&gt;=$K$3,"Tier B (Top 40%)",IF(D18&gt;=$K$4,"Tier C (Top 70%)","Tier D (Bottom 30%)"))))</f>
        <v>Tier D (Bottom 30%)</v>
      </c>
      <c r="F18" s="27" t="n">
        <f aca="false">VLOOKUP(E18,'Bid Tiers (Relative Volume)'!$A$5:$C$9,3,FALSE())</f>
        <v>0.4</v>
      </c>
      <c r="G18" s="14"/>
    </row>
    <row r="19" customFormat="false" ht="15" hidden="false" customHeight="false" outlineLevel="0" collapsed="false">
      <c r="A19" s="25" t="s">
        <v>35</v>
      </c>
      <c r="B19" s="26" t="s">
        <v>118</v>
      </c>
      <c r="C19" s="26" t="s">
        <v>94</v>
      </c>
      <c r="D19" s="15" t="n">
        <v>165000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166</v>
      </c>
      <c r="C20" s="26" t="s">
        <v>94</v>
      </c>
      <c r="D20" s="15" t="n">
        <v>22200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227</v>
      </c>
      <c r="C21" s="26" t="s">
        <v>94</v>
      </c>
      <c r="D21" s="15" t="n">
        <v>12100</v>
      </c>
      <c r="E21" s="26" t="str">
        <f aca="false">IF(D21="","No Data",IF(D21&gt;=$K$2,"Tier A (Top 15%)",IF(D21&gt;=$K$3,"Tier B (Top 40%)",IF(D21&gt;=$K$4,"Tier C (Top 70%)","Tier D (Bottom 30%)"))))</f>
        <v>Tier B (Top 40%)</v>
      </c>
      <c r="F21" s="27" t="n">
        <f aca="false">VLOOKUP(E21,'Bid Tiers (Relative Volume)'!$A$5:$C$9,3,FALSE())</f>
        <v>1</v>
      </c>
      <c r="G21" s="14"/>
    </row>
    <row r="22" customFormat="false" ht="15" hidden="false" customHeight="false" outlineLevel="0" collapsed="false">
      <c r="A22" s="25" t="s">
        <v>35</v>
      </c>
      <c r="B22" s="26" t="s">
        <v>228</v>
      </c>
      <c r="C22" s="26" t="s">
        <v>94</v>
      </c>
      <c r="D22" s="15" t="n">
        <v>8100</v>
      </c>
      <c r="E22" s="26" t="str">
        <f aca="false">IF(D22="","No Data",IF(D22&gt;=$K$2,"Tier A (Top 15%)",IF(D22&gt;=$K$3,"Tier B (Top 40%)",IF(D22&gt;=$K$4,"Tier C (Top 70%)","Tier D (Bottom 30%)"))))</f>
        <v>Tier B (Top 40%)</v>
      </c>
      <c r="F22" s="27" t="n">
        <f aca="false">VLOOKUP(E22,'Bid Tiers (Relative Volume)'!$A$5:$C$9,3,FALSE())</f>
        <v>1</v>
      </c>
      <c r="G22" s="14"/>
    </row>
    <row r="23" customFormat="false" ht="15" hidden="false" customHeight="false" outlineLevel="0" collapsed="false">
      <c r="A23" s="25" t="s">
        <v>35</v>
      </c>
      <c r="B23" s="26" t="s">
        <v>229</v>
      </c>
      <c r="C23" s="26" t="s">
        <v>94</v>
      </c>
      <c r="D23" s="15" t="n">
        <v>320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230</v>
      </c>
      <c r="C24" s="26" t="s">
        <v>94</v>
      </c>
      <c r="D24" s="15" t="n">
        <v>0</v>
      </c>
      <c r="E24" s="26" t="str">
        <f aca="false">IF(D24="","No Data",IF(D24&gt;=$K$2,"Tier A (Top 15%)",IF(D24&gt;=$K$3,"Tier B (Top 40%)",IF(D24&gt;=$K$4,"Tier C (Top 70%)","Tier D (Bottom 30%)"))))</f>
        <v>Tier D (Bottom 30%)</v>
      </c>
      <c r="F24" s="27" t="n">
        <f aca="false">VLOOKUP(E24,'Bid Tiers (Relative Volume)'!$A$5:$C$9,3,FALSE())</f>
        <v>0.4</v>
      </c>
      <c r="G24" s="14"/>
    </row>
    <row r="25" customFormat="false" ht="15" hidden="false" customHeight="false" outlineLevel="0" collapsed="false">
      <c r="A25" s="25" t="s">
        <v>35</v>
      </c>
      <c r="B25" s="26" t="s">
        <v>231</v>
      </c>
      <c r="C25" s="26" t="s">
        <v>94</v>
      </c>
      <c r="D25" s="15" t="n">
        <v>0</v>
      </c>
      <c r="E25" s="26" t="str">
        <f aca="false">IF(D25="","No Data",IF(D25&gt;=$K$2,"Tier A (Top 15%)",IF(D25&gt;=$K$3,"Tier B (Top 40%)",IF(D25&gt;=$K$4,"Tier C (Top 70%)","Tier D (Bottom 30%)"))))</f>
        <v>Tier D (Bottom 30%)</v>
      </c>
      <c r="F25" s="27" t="n">
        <f aca="false">VLOOKUP(E25,'Bid Tiers (Relative Volume)'!$A$5:$C$9,3,FALSE())</f>
        <v>0.4</v>
      </c>
      <c r="G25" s="14"/>
    </row>
    <row r="26" customFormat="false" ht="15" hidden="false" customHeight="false" outlineLevel="0" collapsed="false">
      <c r="A26" s="25" t="s">
        <v>35</v>
      </c>
      <c r="B26" s="26" t="s">
        <v>232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D (Bottom 30%)</v>
      </c>
      <c r="F26" s="27" t="n">
        <f aca="false">VLOOKUP(E26,'Bid Tiers (Relative Volume)'!$A$5:$C$9,3,FALSE())</f>
        <v>0.4</v>
      </c>
      <c r="G26" s="14"/>
    </row>
    <row r="27" customFormat="false" ht="15" hidden="false" customHeight="false" outlineLevel="0" collapsed="false">
      <c r="A27" s="25" t="s">
        <v>35</v>
      </c>
      <c r="B27" s="26" t="s">
        <v>233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D (Bottom 30%)</v>
      </c>
      <c r="F27" s="27" t="n">
        <f aca="false">VLOOKUP(E27,'Bid Tiers (Relative Volume)'!$A$5:$C$9,3,FALSE())</f>
        <v>0.4</v>
      </c>
      <c r="G27" s="14"/>
    </row>
    <row r="28" customFormat="false" ht="15" hidden="false" customHeight="false" outlineLevel="0" collapsed="false">
      <c r="A28" s="25" t="s">
        <v>38</v>
      </c>
      <c r="B28" s="26" t="s">
        <v>234</v>
      </c>
      <c r="C28" s="26" t="s">
        <v>94</v>
      </c>
      <c r="D28" s="15" t="n">
        <v>2400</v>
      </c>
      <c r="E28" s="26" t="str">
        <f aca="false">IF(D28="","No Data",IF(D28&gt;=$K$2,"Tier A (Top 15%)",IF(D28&gt;=$K$3,"Tier B (Top 40%)",IF(D28&gt;=$K$4,"Tier C (Top 70%)","Tier D (Bottom 30%)"))))</f>
        <v>Tier C (Top 70%)</v>
      </c>
      <c r="F28" s="27" t="n">
        <f aca="false">VLOOKUP(E28,'Bid Tiers (Relative Volume)'!$A$5:$C$9,3,FALSE())</f>
        <v>0.65</v>
      </c>
      <c r="G28" s="14"/>
    </row>
    <row r="29" customFormat="false" ht="15" hidden="false" customHeight="false" outlineLevel="0" collapsed="false">
      <c r="A29" s="25" t="s">
        <v>38</v>
      </c>
      <c r="B29" s="26" t="s">
        <v>235</v>
      </c>
      <c r="C29" s="26" t="s">
        <v>94</v>
      </c>
      <c r="D29" s="15" t="n">
        <v>20</v>
      </c>
      <c r="E29" s="26" t="str">
        <f aca="false">IF(D29="","No Data",IF(D29&gt;=$K$2,"Tier A (Top 15%)",IF(D29&gt;=$K$3,"Tier B (Top 40%)",IF(D29&gt;=$K$4,"Tier C (Top 70%)","Tier D (Bottom 30%)"))))</f>
        <v>Tier D (Bottom 30%)</v>
      </c>
      <c r="F29" s="27" t="n">
        <f aca="false">VLOOKUP(E29,'Bid Tiers (Relative Volume)'!$A$5:$C$9,3,FALSE())</f>
        <v>0.4</v>
      </c>
      <c r="G29" s="14"/>
    </row>
    <row r="30" customFormat="false" ht="15" hidden="false" customHeight="false" outlineLevel="0" collapsed="false">
      <c r="A30" s="25" t="s">
        <v>41</v>
      </c>
      <c r="B30" s="26" t="s">
        <v>236</v>
      </c>
      <c r="C30" s="26" t="s">
        <v>94</v>
      </c>
      <c r="D30" s="15" t="n">
        <v>18100</v>
      </c>
      <c r="E30" s="26" t="str">
        <f aca="false">IF(D30="","No Data",IF(D30&gt;=$K$2,"Tier A (Top 15%)",IF(D30&gt;=$K$3,"Tier B (Top 40%)",IF(D30&gt;=$K$4,"Tier C (Top 70%)","Tier D (Bottom 30%)"))))</f>
        <v>Tier A (Top 15%)</v>
      </c>
      <c r="F30" s="27" t="n">
        <f aca="false">VLOOKUP(E30,'Bid Tiers (Relative Volume)'!$A$5:$C$9,3,FALSE())</f>
        <v>1.9</v>
      </c>
      <c r="G30" s="14"/>
    </row>
    <row r="31" customFormat="false" ht="15" hidden="false" customHeight="false" outlineLevel="0" collapsed="false">
      <c r="A31" s="25" t="s">
        <v>41</v>
      </c>
      <c r="B31" s="26" t="s">
        <v>237</v>
      </c>
      <c r="C31" s="26" t="s">
        <v>94</v>
      </c>
      <c r="D31" s="15" t="n">
        <v>18100</v>
      </c>
      <c r="E31" s="26" t="str">
        <f aca="false">IF(D31="","No Data",IF(D31&gt;=$K$2,"Tier A (Top 15%)",IF(D31&gt;=$K$3,"Tier B (Top 40%)",IF(D31&gt;=$K$4,"Tier C (Top 70%)","Tier D (Bottom 30%)"))))</f>
        <v>Tier A (Top 15%)</v>
      </c>
      <c r="F31" s="27" t="n">
        <f aca="false">VLOOKUP(E31,'Bid Tiers (Relative Volume)'!$A$5:$C$9,3,FALSE())</f>
        <v>1.9</v>
      </c>
      <c r="G31" s="14"/>
    </row>
    <row r="32" customFormat="false" ht="15" hidden="false" customHeight="false" outlineLevel="0" collapsed="false">
      <c r="A32" s="25" t="s">
        <v>41</v>
      </c>
      <c r="B32" s="26" t="s">
        <v>238</v>
      </c>
      <c r="C32" s="26" t="s">
        <v>94</v>
      </c>
      <c r="D32" s="15" t="n">
        <v>9900</v>
      </c>
      <c r="E32" s="26" t="str">
        <f aca="false">IF(D32="","No Data",IF(D32&gt;=$K$2,"Tier A (Top 15%)",IF(D32&gt;=$K$3,"Tier B (Top 40%)",IF(D32&gt;=$K$4,"Tier C (Top 70%)","Tier D (Bottom 30%)"))))</f>
        <v>Tier B (Top 40%)</v>
      </c>
      <c r="F32" s="27" t="n">
        <f aca="false">VLOOKUP(E32,'Bid Tiers (Relative Volume)'!$A$5:$C$9,3,FALSE())</f>
        <v>1</v>
      </c>
      <c r="G32" s="14"/>
    </row>
    <row r="33" customFormat="false" ht="15" hidden="false" customHeight="false" outlineLevel="0" collapsed="false">
      <c r="A33" s="25" t="s">
        <v>41</v>
      </c>
      <c r="B33" s="26" t="s">
        <v>239</v>
      </c>
      <c r="C33" s="26" t="s">
        <v>94</v>
      </c>
      <c r="D33" s="15" t="n">
        <v>4400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240</v>
      </c>
      <c r="C34" s="26" t="s">
        <v>94</v>
      </c>
      <c r="D34" s="15" t="n">
        <v>390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241</v>
      </c>
      <c r="C35" s="26" t="s">
        <v>94</v>
      </c>
      <c r="D35" s="15" t="n">
        <v>210</v>
      </c>
      <c r="E35" s="26" t="str">
        <f aca="false">IF(D35="","No Data",IF(D35&gt;=$K$2,"Tier A (Top 15%)",IF(D35&gt;=$K$3,"Tier B (Top 40%)",IF(D35&gt;=$K$4,"Tier C (Top 70%)","Tier D (Bottom 30%)"))))</f>
        <v>Tier C (Top 70%)</v>
      </c>
      <c r="F35" s="27" t="n">
        <f aca="false">VLOOKUP(E35,'Bid Tiers (Relative Volume)'!$A$5:$C$9,3,FALSE())</f>
        <v>0.65</v>
      </c>
      <c r="G35" s="14"/>
    </row>
    <row r="36" customFormat="false" ht="15" hidden="false" customHeight="false" outlineLevel="0" collapsed="false">
      <c r="A36" s="25" t="s">
        <v>41</v>
      </c>
      <c r="B36" s="26" t="s">
        <v>242</v>
      </c>
      <c r="C36" s="26" t="s">
        <v>94</v>
      </c>
      <c r="D36" s="15" t="n">
        <v>110</v>
      </c>
      <c r="E36" s="26" t="str">
        <f aca="false">IF(D36="","No Data",IF(D36&gt;=$K$2,"Tier A (Top 15%)",IF(D36&gt;=$K$3,"Tier B (Top 40%)",IF(D36&gt;=$K$4,"Tier C (Top 70%)","Tier D (Bottom 30%)"))))</f>
        <v>Tier D (Bottom 30%)</v>
      </c>
      <c r="F36" s="27" t="n">
        <f aca="false">VLOOKUP(E36,'Bid Tiers (Relative Volume)'!$A$5:$C$9,3,FALSE())</f>
        <v>0.4</v>
      </c>
      <c r="G36" s="14"/>
    </row>
    <row r="37" customFormat="false" ht="15" hidden="false" customHeight="false" outlineLevel="0" collapsed="false">
      <c r="A37" s="25" t="s">
        <v>41</v>
      </c>
      <c r="B37" s="26" t="s">
        <v>243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D (Bottom 30%)</v>
      </c>
      <c r="F37" s="27" t="n">
        <f aca="false">VLOOKUP(E37,'Bid Tiers (Relative Volume)'!$A$5:$C$9,3,FALSE())</f>
        <v>0.4</v>
      </c>
      <c r="G37" s="14"/>
    </row>
    <row r="38" customFormat="false" ht="15" hidden="false" customHeight="false" outlineLevel="0" collapsed="false">
      <c r="A38" s="25" t="s">
        <v>41</v>
      </c>
      <c r="B38" s="26" t="s">
        <v>244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44</v>
      </c>
      <c r="B39" s="26" t="s">
        <v>245</v>
      </c>
      <c r="C39" s="26" t="s">
        <v>94</v>
      </c>
      <c r="D39" s="15" t="n">
        <v>70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3" customFormat="false" ht="26.8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248</v>
      </c>
      <c r="E3" s="6" t="s">
        <v>58</v>
      </c>
      <c r="F3" s="6" t="s">
        <v>91</v>
      </c>
      <c r="G3" s="6" t="s">
        <v>20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32</v>
      </c>
      <c r="B8" s="26" t="s">
        <v>249</v>
      </c>
      <c r="C8" s="26" t="s">
        <v>94</v>
      </c>
      <c r="D8" s="15" t="n">
        <v>5</v>
      </c>
      <c r="E8" s="26" t="str">
        <f aca="false">IF(D8="","No Data",INDEX('Bid Tiers (Popularity Score)'!$A$4:$A$7,MATCH(D8,'Bid Tiers (Popularity Score)'!$B$4:$B$7,1)))</f>
        <v>Tier D — Below Threshold (&lt;5)</v>
      </c>
      <c r="F8" s="27" t="n">
        <f aca="false">IF(D8="",0.25,INDEX('Bid Tiers (Popularity Score)'!$E$4:$E$7,MATCH(D8,'Bid Tiers (Popularity Score)'!$B$4:$B$7,1)))</f>
        <v>0.5</v>
      </c>
      <c r="G8" s="14"/>
    </row>
    <row r="9" customFormat="false" ht="15" hidden="false" customHeight="false" outlineLevel="0" collapsed="false">
      <c r="A9" s="25" t="s">
        <v>32</v>
      </c>
      <c r="B9" s="26" t="s">
        <v>250</v>
      </c>
      <c r="C9" s="26" t="s">
        <v>94</v>
      </c>
      <c r="D9" s="15" t="n">
        <v>5</v>
      </c>
      <c r="E9" s="26" t="str">
        <f aca="false">IF(D9="","No Data",INDEX('Bid Tiers (Popularity Score)'!$A$4:$A$7,MATCH(D9,'Bid Tiers (Popularity Score)'!$B$4:$B$7,1)))</f>
        <v>Tier D — Below Threshold (&lt;5)</v>
      </c>
      <c r="F9" s="27" t="n">
        <f aca="false">IF(D9="",0.25,INDEX('Bid Tiers (Popularity Score)'!$E$4:$E$7,MATCH(D9,'Bid Tiers (Popularity Score)'!$B$4:$B$7,1)))</f>
        <v>0.5</v>
      </c>
      <c r="G9" s="14"/>
    </row>
    <row r="10" customFormat="false" ht="15" hidden="false" customHeight="false" outlineLevel="0" collapsed="false">
      <c r="A10" s="25" t="s">
        <v>32</v>
      </c>
      <c r="B10" s="26" t="s">
        <v>104</v>
      </c>
      <c r="C10" s="26" t="s">
        <v>94</v>
      </c>
      <c r="D10" s="15" t="n">
        <v>36</v>
      </c>
      <c r="E10" s="26" t="str">
        <f aca="false">IF(D10="","No Data",INDEX('Bid Tiers (Popularity Score)'!$A$4:$A$7,MATCH(D10,'Bid Tiers (Popularity Score)'!$B$4:$B$7,1)))</f>
        <v>Tier B — Mid Volume</v>
      </c>
      <c r="F10" s="27" t="n">
        <f aca="false">IF(D10="",0.25,INDEX('Bid Tiers (Popularity Score)'!$E$4:$E$7,MATCH(D10,'Bid Tiers (Popularity Score)'!$B$4:$B$7,1)))</f>
        <v>1.25</v>
      </c>
      <c r="G10" s="14"/>
    </row>
    <row r="11" customFormat="false" ht="15" hidden="false" customHeight="false" outlineLevel="0" collapsed="false">
      <c r="A11" s="25" t="s">
        <v>32</v>
      </c>
      <c r="B11" s="26" t="s">
        <v>251</v>
      </c>
      <c r="C11" s="26" t="s">
        <v>94</v>
      </c>
      <c r="D11" s="15" t="n">
        <v>25</v>
      </c>
      <c r="E11" s="26" t="str">
        <f aca="false">IF(D11="","No Data",INDEX('Bid Tiers (Popularity Score)'!$A$4:$A$7,MATCH(D11,'Bid Tiers (Popularity Score)'!$B$4:$B$7,1)))</f>
        <v>Tier B — Mid Volume</v>
      </c>
      <c r="F11" s="27" t="n">
        <f aca="false">IF(D11="",0.25,INDEX('Bid Tiers (Popularity Score)'!$E$4:$E$7,MATCH(D11,'Bid Tiers (Popularity Score)'!$B$4:$B$7,1)))</f>
        <v>1.25</v>
      </c>
      <c r="G11" s="14"/>
    </row>
    <row r="12" customFormat="false" ht="15" hidden="false" customHeight="false" outlineLevel="0" collapsed="false">
      <c r="A12" s="25" t="s">
        <v>32</v>
      </c>
      <c r="B12" s="26" t="s">
        <v>108</v>
      </c>
      <c r="C12" s="26" t="s">
        <v>94</v>
      </c>
      <c r="D12" s="15" t="n">
        <v>21</v>
      </c>
      <c r="E12" s="26" t="str">
        <f aca="false">IF(D12="","No Data",INDEX('Bid Tiers (Popularity Score)'!$A$4:$A$7,MATCH(D12,'Bid Tiers (Popularity Score)'!$B$4:$B$7,1)))</f>
        <v>Tier B — Mid Volume</v>
      </c>
      <c r="F12" s="27" t="n">
        <f aca="false">IF(D12="",0.25,INDEX('Bid Tiers (Popularity Score)'!$E$4:$E$7,MATCH(D12,'Bid Tiers (Popularity Score)'!$B$4:$B$7,1)))</f>
        <v>1.25</v>
      </c>
      <c r="G12" s="14"/>
    </row>
    <row r="13" customFormat="false" ht="15" hidden="false" customHeight="false" outlineLevel="0" collapsed="false">
      <c r="A13" s="25" t="s">
        <v>32</v>
      </c>
      <c r="B13" s="26" t="s">
        <v>109</v>
      </c>
      <c r="C13" s="26" t="s">
        <v>94</v>
      </c>
      <c r="D13" s="15" t="n">
        <v>13</v>
      </c>
      <c r="E13" s="26" t="str">
        <f aca="false">IF(D13="","No Data",INDEX('Bid Tiers (Popularity Score)'!$A$4:$A$7,MATCH(D13,'Bid Tiers (Popularity Score)'!$B$4:$B$7,1)))</f>
        <v>Tier C — Long-Tail</v>
      </c>
      <c r="F13" s="27" t="n">
        <f aca="false">IF(D13="",0.25,INDEX('Bid Tiers (Popularity Score)'!$E$4:$E$7,MATCH(D13,'Bid Tiers (Popularity Score)'!$B$4:$B$7,1)))</f>
        <v>0.75</v>
      </c>
      <c r="G13" s="14"/>
    </row>
    <row r="14" customFormat="false" ht="15" hidden="false" customHeight="false" outlineLevel="0" collapsed="false">
      <c r="A14" s="25" t="s">
        <v>32</v>
      </c>
      <c r="B14" s="26" t="s">
        <v>252</v>
      </c>
      <c r="C14" s="26" t="s">
        <v>94</v>
      </c>
      <c r="D14" s="15" t="n">
        <v>7</v>
      </c>
      <c r="E14" s="26" t="str">
        <f aca="false">IF(D14="","No Data",INDEX('Bid Tiers (Popularity Score)'!$A$4:$A$7,MATCH(D14,'Bid Tiers (Popularity Score)'!$B$4:$B$7,1)))</f>
        <v>Tier C — Long-Tail</v>
      </c>
      <c r="F14" s="27" t="n">
        <f aca="false">IF(D14="",0.25,INDEX('Bid Tiers (Popularity Score)'!$E$4:$E$7,MATCH(D14,'Bid Tiers (Popularity Score)'!$B$4:$B$7,1)))</f>
        <v>0.75</v>
      </c>
      <c r="G14" s="14"/>
    </row>
    <row r="15" customFormat="false" ht="15" hidden="false" customHeight="false" outlineLevel="0" collapsed="false">
      <c r="A15" s="25" t="s">
        <v>32</v>
      </c>
      <c r="B15" s="26" t="s">
        <v>162</v>
      </c>
      <c r="C15" s="26" t="s">
        <v>94</v>
      </c>
      <c r="D15" s="15"/>
      <c r="E15" s="26" t="str">
        <f aca="false">IF(D15="","No Data",INDEX('Bid Tiers (Popularity Score)'!$A$4:$A$7,MATCH(D15,'Bid Tiers (Popularity Score)'!$B$4:$B$7,1)))</f>
        <v>No Data</v>
      </c>
      <c r="F15" s="27" t="n">
        <f aca="false">IF(D15="",0.25,INDEX('Bid Tiers (Popularity Score)'!$E$4:$E$7,MATCH(D15,'Bid Tiers (Popularity Score)'!$B$4:$B$7,1)))</f>
        <v>0.25</v>
      </c>
      <c r="G15" s="14"/>
    </row>
    <row r="16" customFormat="false" ht="15" hidden="false" customHeight="false" outlineLevel="0" collapsed="false">
      <c r="A16" s="25" t="s">
        <v>32</v>
      </c>
      <c r="B16" s="26" t="s">
        <v>103</v>
      </c>
      <c r="C16" s="26" t="s">
        <v>94</v>
      </c>
      <c r="D16" s="15" t="n">
        <v>7</v>
      </c>
      <c r="E16" s="26" t="str">
        <f aca="false">IF(D16="","No Data",INDEX('Bid Tiers (Popularity Score)'!$A$4:$A$7,MATCH(D16,'Bid Tiers (Popularity Score)'!$B$4:$B$7,1)))</f>
        <v>Tier C — Long-Tail</v>
      </c>
      <c r="F16" s="27" t="n">
        <f aca="false">IF(D16="",0.25,INDEX('Bid Tiers (Popularity Score)'!$E$4:$E$7,MATCH(D16,'Bid Tiers (Popularity Score)'!$B$4:$B$7,1)))</f>
        <v>0.75</v>
      </c>
      <c r="G16" s="14"/>
    </row>
    <row r="17" customFormat="false" ht="15" hidden="false" customHeight="false" outlineLevel="0" collapsed="false">
      <c r="A17" s="25" t="s">
        <v>32</v>
      </c>
      <c r="B17" s="26" t="s">
        <v>114</v>
      </c>
      <c r="C17" s="26" t="s">
        <v>94</v>
      </c>
      <c r="D17" s="15" t="n">
        <v>6</v>
      </c>
      <c r="E17" s="26" t="str">
        <f aca="false">IF(D17="","No Data",INDEX('Bid Tiers (Popularity Score)'!$A$4:$A$7,MATCH(D17,'Bid Tiers (Popularity Score)'!$B$4:$B$7,1)))</f>
        <v>Tier C — Long-Tail</v>
      </c>
      <c r="F17" s="27" t="n">
        <f aca="false">IF(D17="",0.25,INDEX('Bid Tiers (Popularity Score)'!$E$4:$E$7,MATCH(D17,'Bid Tiers (Popularity Score)'!$B$4:$B$7,1)))</f>
        <v>0.75</v>
      </c>
      <c r="G17" s="14"/>
    </row>
    <row r="18" customFormat="false" ht="15" hidden="false" customHeight="false" outlineLevel="0" collapsed="false">
      <c r="A18" s="25" t="s">
        <v>32</v>
      </c>
      <c r="B18" s="26" t="s">
        <v>115</v>
      </c>
      <c r="C18" s="26" t="s">
        <v>94</v>
      </c>
      <c r="D18" s="15" t="n">
        <v>5</v>
      </c>
      <c r="E18" s="26" t="str">
        <f aca="false">IF(D18="","No Data",INDEX('Bid Tiers (Popularity Score)'!$A$4:$A$7,MATCH(D18,'Bid Tiers (Popularity Score)'!$B$4:$B$7,1)))</f>
        <v>Tier D — Below Threshold (&lt;5)</v>
      </c>
      <c r="F18" s="27" t="n">
        <f aca="false">IF(D18="",0.25,INDEX('Bid Tiers (Popularity Score)'!$E$4:$E$7,MATCH(D18,'Bid Tiers (Popularity Score)'!$B$4:$B$7,1)))</f>
        <v>0.5</v>
      </c>
      <c r="G18" s="14"/>
    </row>
    <row r="19" customFormat="false" ht="15" hidden="false" customHeight="false" outlineLevel="0" collapsed="false">
      <c r="A19" s="25" t="s">
        <v>32</v>
      </c>
      <c r="B19" s="26" t="s">
        <v>107</v>
      </c>
      <c r="C19" s="26" t="s">
        <v>94</v>
      </c>
      <c r="D19" s="15" t="n">
        <v>5</v>
      </c>
      <c r="E19" s="26" t="str">
        <f aca="false">IF(D19="","No Data",INDEX('Bid Tiers (Popularity Score)'!$A$4:$A$7,MATCH(D19,'Bid Tiers (Popularity Score)'!$B$4:$B$7,1)))</f>
        <v>Tier D — Below Threshold (&lt;5)</v>
      </c>
      <c r="F19" s="27" t="n">
        <f aca="false">IF(D19="",0.25,INDEX('Bid Tiers (Popularity Score)'!$E$4:$E$7,MATCH(D19,'Bid Tiers (Popularity Score)'!$B$4:$B$7,1)))</f>
        <v>0.5</v>
      </c>
      <c r="G19" s="14"/>
    </row>
    <row r="20" customFormat="false" ht="15" hidden="false" customHeight="false" outlineLevel="0" collapsed="false">
      <c r="A20" s="25" t="s">
        <v>32</v>
      </c>
      <c r="B20" s="26" t="s">
        <v>106</v>
      </c>
      <c r="C20" s="26" t="s">
        <v>94</v>
      </c>
      <c r="D20" s="15" t="n">
        <v>5</v>
      </c>
      <c r="E20" s="26" t="str">
        <f aca="false">IF(D20="","No Data",INDEX('Bid Tiers (Popularity Score)'!$A$4:$A$7,MATCH(D20,'Bid Tiers (Popularity Score)'!$B$4:$B$7,1)))</f>
        <v>Tier D — Below Threshold (&lt;5)</v>
      </c>
      <c r="F20" s="27" t="n">
        <f aca="false">IF(D20="",0.25,INDEX('Bid Tiers (Popularity Score)'!$E$4:$E$7,MATCH(D20,'Bid Tiers (Popularity Score)'!$B$4:$B$7,1)))</f>
        <v>0.5</v>
      </c>
      <c r="G20" s="14"/>
    </row>
    <row r="21" customFormat="false" ht="15" hidden="false" customHeight="false" outlineLevel="0" collapsed="false">
      <c r="A21" s="25" t="s">
        <v>32</v>
      </c>
      <c r="B21" s="26" t="s">
        <v>111</v>
      </c>
      <c r="C21" s="26" t="s">
        <v>94</v>
      </c>
      <c r="D21" s="15" t="n">
        <v>5</v>
      </c>
      <c r="E21" s="26" t="str">
        <f aca="false">IF(D21="","No Data",INDEX('Bid Tiers (Popularity Score)'!$A$4:$A$7,MATCH(D21,'Bid Tiers (Popularity Score)'!$B$4:$B$7,1)))</f>
        <v>Tier D — Below Threshold (&lt;5)</v>
      </c>
      <c r="F21" s="27" t="n">
        <f aca="false">IF(D21="",0.25,INDEX('Bid Tiers (Popularity Score)'!$E$4:$E$7,MATCH(D21,'Bid Tiers (Popularity Score)'!$B$4:$B$7,1)))</f>
        <v>0.5</v>
      </c>
      <c r="G21" s="14"/>
    </row>
    <row r="22" customFormat="false" ht="15" hidden="false" customHeight="false" outlineLevel="0" collapsed="false">
      <c r="A22" s="25" t="s">
        <v>32</v>
      </c>
      <c r="B22" s="26" t="s">
        <v>113</v>
      </c>
      <c r="C22" s="26" t="s">
        <v>94</v>
      </c>
      <c r="D22" s="15" t="n">
        <v>5</v>
      </c>
      <c r="E22" s="26" t="str">
        <f aca="false">IF(D22="","No Data",INDEX('Bid Tiers (Popularity Score)'!$A$4:$A$7,MATCH(D22,'Bid Tiers (Popularity Score)'!$B$4:$B$7,1)))</f>
        <v>Tier D — Below Threshold (&lt;5)</v>
      </c>
      <c r="F22" s="27" t="n">
        <f aca="false">IF(D22="",0.25,INDEX('Bid Tiers (Popularity Score)'!$E$4:$E$7,MATCH(D22,'Bid Tiers (Popularity Score)'!$B$4:$B$7,1)))</f>
        <v>0.5</v>
      </c>
      <c r="G22" s="14"/>
    </row>
    <row r="23" customFormat="false" ht="15" hidden="false" customHeight="false" outlineLevel="0" collapsed="false">
      <c r="A23" s="25" t="s">
        <v>32</v>
      </c>
      <c r="B23" s="26" t="s">
        <v>112</v>
      </c>
      <c r="C23" s="26" t="s">
        <v>94</v>
      </c>
      <c r="D23" s="15" t="n">
        <v>5</v>
      </c>
      <c r="E23" s="26" t="str">
        <f aca="false">IF(D23="","No Data",INDEX('Bid Tiers (Popularity Score)'!$A$4:$A$7,MATCH(D23,'Bid Tiers (Popularity Score)'!$B$4:$B$7,1)))</f>
        <v>Tier D — Below Threshold (&lt;5)</v>
      </c>
      <c r="F23" s="27" t="n">
        <f aca="false">IF(D23="",0.25,INDEX('Bid Tiers (Popularity Score)'!$E$4:$E$7,MATCH(D23,'Bid Tiers (Popularity Score)'!$B$4:$B$7,1)))</f>
        <v>0.5</v>
      </c>
      <c r="G23" s="14"/>
    </row>
    <row r="24" customFormat="false" ht="15" hidden="false" customHeight="false" outlineLevel="0" collapsed="false">
      <c r="A24" s="25" t="s">
        <v>32</v>
      </c>
      <c r="B24" s="26" t="s">
        <v>105</v>
      </c>
      <c r="C24" s="26" t="s">
        <v>94</v>
      </c>
      <c r="D24" s="15" t="n">
        <v>5</v>
      </c>
      <c r="E24" s="26" t="str">
        <f aca="false">IF(D24="","No Data",INDEX('Bid Tiers (Popularity Score)'!$A$4:$A$7,MATCH(D24,'Bid Tiers (Popularity Score)'!$B$4:$B$7,1)))</f>
        <v>Tier D — Below Threshold (&lt;5)</v>
      </c>
      <c r="F24" s="27" t="n">
        <f aca="false">IF(D24="",0.25,INDEX('Bid Tiers (Popularity Score)'!$E$4:$E$7,MATCH(D24,'Bid Tiers (Popularity Score)'!$B$4:$B$7,1)))</f>
        <v>0.5</v>
      </c>
      <c r="G24" s="14"/>
    </row>
    <row r="25" customFormat="false" ht="15" hidden="false" customHeight="false" outlineLevel="0" collapsed="false">
      <c r="A25" s="25" t="s">
        <v>32</v>
      </c>
      <c r="B25" s="26" t="s">
        <v>253</v>
      </c>
      <c r="C25" s="26" t="s">
        <v>94</v>
      </c>
      <c r="D25" s="15"/>
      <c r="E25" s="26" t="str">
        <f aca="false">IF(D25="","No Data",INDEX('Bid Tiers (Popularity Score)'!$A$4:$A$7,MATCH(D25,'Bid Tiers (Popularity Score)'!$B$4:$B$7,1)))</f>
        <v>No Data</v>
      </c>
      <c r="F25" s="27" t="n">
        <f aca="false">IF(D25="",0.25,INDEX('Bid Tiers (Popularity Score)'!$E$4:$E$7,MATCH(D25,'Bid Tiers (Popularity Score)'!$B$4:$B$7,1)))</f>
        <v>0.25</v>
      </c>
      <c r="G25" s="14"/>
    </row>
    <row r="26" customFormat="false" ht="15" hidden="false" customHeight="false" outlineLevel="0" collapsed="false">
      <c r="A26" s="25" t="s">
        <v>32</v>
      </c>
      <c r="B26" s="26" t="s">
        <v>116</v>
      </c>
      <c r="C26" s="26" t="s">
        <v>94</v>
      </c>
      <c r="D26" s="15" t="n">
        <v>0</v>
      </c>
      <c r="E26" s="26" t="str">
        <f aca="false">IF(D26="","No Data",INDEX('Bid Tiers (Popularity Score)'!$A$4:$A$7,MATCH(D26,'Bid Tiers (Popularity Score)'!$B$4:$B$7,1)))</f>
        <v>Tier D — Below Threshold (&lt;5)</v>
      </c>
      <c r="F26" s="27" t="n">
        <f aca="false">IF(D26="",0.25,INDEX('Bid Tiers (Popularity Score)'!$E$4:$E$7,MATCH(D26,'Bid Tiers (Popularity Score)'!$B$4:$B$7,1)))</f>
        <v>0.5</v>
      </c>
      <c r="G26" s="14"/>
    </row>
    <row r="27" customFormat="false" ht="15" hidden="false" customHeight="false" outlineLevel="0" collapsed="false">
      <c r="A27" s="25" t="s">
        <v>35</v>
      </c>
      <c r="B27" s="26" t="s">
        <v>118</v>
      </c>
      <c r="C27" s="26" t="s">
        <v>94</v>
      </c>
      <c r="D27" s="15" t="n">
        <v>41</v>
      </c>
      <c r="E27" s="26" t="str">
        <f aca="false">IF(D27="","No Data",INDEX('Bid Tiers (Popularity Score)'!$A$4:$A$7,MATCH(D27,'Bid Tiers (Popularity Score)'!$B$4:$B$7,1)))</f>
        <v>Tier B — Mid Volume</v>
      </c>
      <c r="F27" s="27" t="n">
        <f aca="false">IF(D27="",0.25,INDEX('Bid Tiers (Popularity Score)'!$E$4:$E$7,MATCH(D27,'Bid Tiers (Popularity Score)'!$B$4:$B$7,1)))</f>
        <v>1.25</v>
      </c>
      <c r="G27" s="14"/>
    </row>
    <row r="28" customFormat="false" ht="15" hidden="false" customHeight="false" outlineLevel="0" collapsed="false">
      <c r="A28" s="25" t="s">
        <v>35</v>
      </c>
      <c r="B28" s="26" t="s">
        <v>254</v>
      </c>
      <c r="C28" s="26" t="s">
        <v>94</v>
      </c>
      <c r="D28" s="15" t="n">
        <v>39</v>
      </c>
      <c r="E28" s="26" t="str">
        <f aca="false">IF(D28="","No Data",INDEX('Bid Tiers (Popularity Score)'!$A$4:$A$7,MATCH(D28,'Bid Tiers (Popularity Score)'!$B$4:$B$7,1)))</f>
        <v>Tier B — Mid Volume</v>
      </c>
      <c r="F28" s="27" t="n">
        <f aca="false">IF(D28="",0.25,INDEX('Bid Tiers (Popularity Score)'!$E$4:$E$7,MATCH(D28,'Bid Tiers (Popularity Score)'!$B$4:$B$7,1)))</f>
        <v>1.25</v>
      </c>
      <c r="G28" s="14"/>
    </row>
    <row r="29" customFormat="false" ht="15" hidden="false" customHeight="false" outlineLevel="0" collapsed="false">
      <c r="A29" s="25" t="s">
        <v>35</v>
      </c>
      <c r="B29" s="26" t="s">
        <v>117</v>
      </c>
      <c r="C29" s="26" t="s">
        <v>94</v>
      </c>
      <c r="D29" s="15" t="n">
        <v>38</v>
      </c>
      <c r="E29" s="26" t="str">
        <f aca="false">IF(D29="","No Data",INDEX('Bid Tiers (Popularity Score)'!$A$4:$A$7,MATCH(D29,'Bid Tiers (Popularity Score)'!$B$4:$B$7,1)))</f>
        <v>Tier B — Mid Volume</v>
      </c>
      <c r="F29" s="27" t="n">
        <f aca="false">IF(D29="",0.25,INDEX('Bid Tiers (Popularity Score)'!$E$4:$E$7,MATCH(D29,'Bid Tiers (Popularity Score)'!$B$4:$B$7,1)))</f>
        <v>1.25</v>
      </c>
      <c r="G29" s="14"/>
    </row>
    <row r="30" customFormat="false" ht="15" hidden="false" customHeight="false" outlineLevel="0" collapsed="false">
      <c r="A30" s="25" t="s">
        <v>35</v>
      </c>
      <c r="B30" s="26" t="s">
        <v>119</v>
      </c>
      <c r="C30" s="26" t="s">
        <v>94</v>
      </c>
      <c r="D30" s="15" t="n">
        <v>34</v>
      </c>
      <c r="E30" s="26" t="str">
        <f aca="false">IF(D30="","No Data",INDEX('Bid Tiers (Popularity Score)'!$A$4:$A$7,MATCH(D30,'Bid Tiers (Popularity Score)'!$B$4:$B$7,1)))</f>
        <v>Tier B — Mid Volume</v>
      </c>
      <c r="F30" s="27" t="n">
        <f aca="false">IF(D30="",0.25,INDEX('Bid Tiers (Popularity Score)'!$E$4:$E$7,MATCH(D30,'Bid Tiers (Popularity Score)'!$B$4:$B$7,1)))</f>
        <v>1.25</v>
      </c>
      <c r="G30" s="14"/>
    </row>
    <row r="31" customFormat="false" ht="15" hidden="false" customHeight="false" outlineLevel="0" collapsed="false">
      <c r="A31" s="25" t="s">
        <v>35</v>
      </c>
      <c r="B31" s="26" t="s">
        <v>121</v>
      </c>
      <c r="C31" s="26" t="s">
        <v>94</v>
      </c>
      <c r="D31" s="15" t="n">
        <v>33</v>
      </c>
      <c r="E31" s="26" t="str">
        <f aca="false">IF(D31="","No Data",INDEX('Bid Tiers (Popularity Score)'!$A$4:$A$7,MATCH(D31,'Bid Tiers (Popularity Score)'!$B$4:$B$7,1)))</f>
        <v>Tier B — Mid Volume</v>
      </c>
      <c r="F31" s="27" t="n">
        <f aca="false">IF(D31="",0.25,INDEX('Bid Tiers (Popularity Score)'!$E$4:$E$7,MATCH(D31,'Bid Tiers (Popularity Score)'!$B$4:$B$7,1)))</f>
        <v>1.25</v>
      </c>
      <c r="G31" s="14"/>
    </row>
    <row r="32" customFormat="false" ht="15" hidden="false" customHeight="false" outlineLevel="0" collapsed="false">
      <c r="A32" s="25" t="s">
        <v>35</v>
      </c>
      <c r="B32" s="26" t="s">
        <v>120</v>
      </c>
      <c r="C32" s="26" t="s">
        <v>94</v>
      </c>
      <c r="D32" s="15" t="n">
        <v>44</v>
      </c>
      <c r="E32" s="26" t="str">
        <f aca="false">IF(D32="","No Data",INDEX('Bid Tiers (Popularity Score)'!$A$4:$A$7,MATCH(D32,'Bid Tiers (Popularity Score)'!$B$4:$B$7,1)))</f>
        <v>Tier B — Mid Volume</v>
      </c>
      <c r="F32" s="27" t="n">
        <f aca="false">IF(D32="",0.25,INDEX('Bid Tiers (Popularity Score)'!$E$4:$E$7,MATCH(D32,'Bid Tiers (Popularity Score)'!$B$4:$B$7,1)))</f>
        <v>1.25</v>
      </c>
      <c r="G32" s="14"/>
    </row>
    <row r="33" customFormat="false" ht="15" hidden="false" customHeight="false" outlineLevel="0" collapsed="false">
      <c r="A33" s="25" t="s">
        <v>35</v>
      </c>
      <c r="B33" s="26" t="s">
        <v>127</v>
      </c>
      <c r="C33" s="26" t="s">
        <v>94</v>
      </c>
      <c r="D33" s="15" t="n">
        <v>5</v>
      </c>
      <c r="E33" s="26" t="str">
        <f aca="false">IF(D33="","No Data",INDEX('Bid Tiers (Popularity Score)'!$A$4:$A$7,MATCH(D33,'Bid Tiers (Popularity Score)'!$B$4:$B$7,1)))</f>
        <v>Tier D — Below Threshold (&lt;5)</v>
      </c>
      <c r="F33" s="27" t="n">
        <f aca="false">IF(D33="",0.25,INDEX('Bid Tiers (Popularity Score)'!$E$4:$E$7,MATCH(D33,'Bid Tiers (Popularity Score)'!$B$4:$B$7,1)))</f>
        <v>0.5</v>
      </c>
      <c r="G33" s="14"/>
    </row>
    <row r="34" customFormat="false" ht="15" hidden="false" customHeight="false" outlineLevel="0" collapsed="false">
      <c r="A34" s="25" t="s">
        <v>35</v>
      </c>
      <c r="B34" s="26" t="s">
        <v>123</v>
      </c>
      <c r="C34" s="26" t="s">
        <v>94</v>
      </c>
      <c r="D34" s="15" t="n">
        <v>10</v>
      </c>
      <c r="E34" s="26" t="str">
        <f aca="false">IF(D34="","No Data",INDEX('Bid Tiers (Popularity Score)'!$A$4:$A$7,MATCH(D34,'Bid Tiers (Popularity Score)'!$B$4:$B$7,1)))</f>
        <v>Tier C — Long-Tail</v>
      </c>
      <c r="F34" s="27" t="n">
        <f aca="false">IF(D34="",0.25,INDEX('Bid Tiers (Popularity Score)'!$E$4:$E$7,MATCH(D34,'Bid Tiers (Popularity Score)'!$B$4:$B$7,1)))</f>
        <v>0.75</v>
      </c>
      <c r="G34" s="14"/>
    </row>
    <row r="35" customFormat="false" ht="15" hidden="false" customHeight="false" outlineLevel="0" collapsed="false">
      <c r="A35" s="25" t="s">
        <v>35</v>
      </c>
      <c r="B35" s="26" t="s">
        <v>128</v>
      </c>
      <c r="C35" s="26" t="s">
        <v>94</v>
      </c>
      <c r="D35" s="15" t="n">
        <v>11</v>
      </c>
      <c r="E35" s="26" t="str">
        <f aca="false">IF(D35="","No Data",INDEX('Bid Tiers (Popularity Score)'!$A$4:$A$7,MATCH(D35,'Bid Tiers (Popularity Score)'!$B$4:$B$7,1)))</f>
        <v>Tier C — Long-Tail</v>
      </c>
      <c r="F35" s="27" t="n">
        <f aca="false">IF(D35="",0.25,INDEX('Bid Tiers (Popularity Score)'!$E$4:$E$7,MATCH(D35,'Bid Tiers (Popularity Score)'!$B$4:$B$7,1)))</f>
        <v>0.75</v>
      </c>
      <c r="G35" s="14"/>
    </row>
    <row r="36" customFormat="false" ht="15" hidden="false" customHeight="false" outlineLevel="0" collapsed="false">
      <c r="A36" s="25" t="s">
        <v>35</v>
      </c>
      <c r="B36" s="26" t="s">
        <v>255</v>
      </c>
      <c r="C36" s="26" t="s">
        <v>94</v>
      </c>
      <c r="D36" s="15" t="n">
        <v>14</v>
      </c>
      <c r="E36" s="26" t="str">
        <f aca="false">IF(D36="","No Data",INDEX('Bid Tiers (Popularity Score)'!$A$4:$A$7,MATCH(D36,'Bid Tiers (Popularity Score)'!$B$4:$B$7,1)))</f>
        <v>Tier C — Long-Tail</v>
      </c>
      <c r="F36" s="27" t="n">
        <f aca="false">IF(D36="",0.25,INDEX('Bid Tiers (Popularity Score)'!$E$4:$E$7,MATCH(D36,'Bid Tiers (Popularity Score)'!$B$4:$B$7,1)))</f>
        <v>0.75</v>
      </c>
      <c r="G36" s="14"/>
    </row>
    <row r="37" customFormat="false" ht="15" hidden="false" customHeight="false" outlineLevel="0" collapsed="false">
      <c r="A37" s="25" t="s">
        <v>35</v>
      </c>
      <c r="B37" s="26" t="s">
        <v>122</v>
      </c>
      <c r="C37" s="26" t="s">
        <v>94</v>
      </c>
      <c r="D37" s="15" t="n">
        <v>5</v>
      </c>
      <c r="E37" s="26" t="str">
        <f aca="false">IF(D37="","No Data",INDEX('Bid Tiers (Popularity Score)'!$A$4:$A$7,MATCH(D37,'Bid Tiers (Popularity Score)'!$B$4:$B$7,1)))</f>
        <v>Tier D — Below Threshold (&lt;5)</v>
      </c>
      <c r="F37" s="27" t="n">
        <f aca="false">IF(D37="",0.25,INDEX('Bid Tiers (Popularity Score)'!$E$4:$E$7,MATCH(D37,'Bid Tiers (Popularity Score)'!$B$4:$B$7,1)))</f>
        <v>0.5</v>
      </c>
      <c r="G37" s="14"/>
    </row>
    <row r="38" customFormat="false" ht="15" hidden="false" customHeight="false" outlineLevel="0" collapsed="false">
      <c r="A38" s="25" t="s">
        <v>35</v>
      </c>
      <c r="B38" s="26" t="s">
        <v>124</v>
      </c>
      <c r="C38" s="26" t="s">
        <v>94</v>
      </c>
      <c r="D38" s="15" t="n">
        <v>5</v>
      </c>
      <c r="E38" s="26" t="str">
        <f aca="false">IF(D38="","No Data",INDEX('Bid Tiers (Popularity Score)'!$A$4:$A$7,MATCH(D38,'Bid Tiers (Popularity Score)'!$B$4:$B$7,1)))</f>
        <v>Tier D — Below Threshold (&lt;5)</v>
      </c>
      <c r="F38" s="27" t="n">
        <f aca="false">IF(D38="",0.25,INDEX('Bid Tiers (Popularity Score)'!$E$4:$E$7,MATCH(D38,'Bid Tiers (Popularity Score)'!$B$4:$B$7,1)))</f>
        <v>0.5</v>
      </c>
      <c r="G38" s="14"/>
    </row>
    <row r="39" customFormat="false" ht="35.05" hidden="false" customHeight="false" outlineLevel="0" collapsed="false">
      <c r="A39" s="25" t="s">
        <v>35</v>
      </c>
      <c r="B39" s="26" t="s">
        <v>125</v>
      </c>
      <c r="C39" s="26" t="s">
        <v>94</v>
      </c>
      <c r="D39" s="15" t="n">
        <v>5</v>
      </c>
      <c r="E39" s="26" t="str">
        <f aca="false">IF(D39="","No Data",INDEX('Bid Tiers (Popularity Score)'!$A$4:$A$7,MATCH(D39,'Bid Tiers (Popularity Score)'!$B$4:$B$7,1)))</f>
        <v>Tier D — Below Threshold (&lt;5)</v>
      </c>
      <c r="F39" s="27" t="n">
        <f aca="false">IF(D39="",0.25,INDEX('Bid Tiers (Popularity Score)'!$E$4:$E$7,MATCH(D39,'Bid Tiers (Popularity Score)'!$B$4:$B$7,1)))</f>
        <v>0.5</v>
      </c>
      <c r="G39" s="14" t="s">
        <v>126</v>
      </c>
    </row>
    <row r="40" customFormat="false" ht="15" hidden="false" customHeight="false" outlineLevel="0" collapsed="false">
      <c r="A40" s="25" t="s">
        <v>35</v>
      </c>
      <c r="B40" s="26" t="s">
        <v>130</v>
      </c>
      <c r="C40" s="26" t="s">
        <v>94</v>
      </c>
      <c r="D40" s="15" t="n">
        <v>5</v>
      </c>
      <c r="E40" s="26" t="str">
        <f aca="false">IF(D40="","No Data",INDEX('Bid Tiers (Popularity Score)'!$A$4:$A$7,MATCH(D40,'Bid Tiers (Popularity Score)'!$B$4:$B$7,1)))</f>
        <v>Tier D — Below Threshold (&lt;5)</v>
      </c>
      <c r="F40" s="27" t="n">
        <f aca="false">IF(D40="",0.25,INDEX('Bid Tiers (Popularity Score)'!$E$4:$E$7,MATCH(D40,'Bid Tiers (Popularity Score)'!$B$4:$B$7,1)))</f>
        <v>0.5</v>
      </c>
      <c r="G40" s="14"/>
    </row>
    <row r="41" customFormat="false" ht="15" hidden="false" customHeight="false" outlineLevel="0" collapsed="false">
      <c r="A41" s="25" t="s">
        <v>35</v>
      </c>
      <c r="B41" s="26" t="s">
        <v>129</v>
      </c>
      <c r="C41" s="26" t="s">
        <v>94</v>
      </c>
      <c r="D41" s="15" t="n">
        <v>5</v>
      </c>
      <c r="E41" s="26" t="str">
        <f aca="false">IF(D41="","No Data",INDEX('Bid Tiers (Popularity Score)'!$A$4:$A$7,MATCH(D41,'Bid Tiers (Popularity Score)'!$B$4:$B$7,1)))</f>
        <v>Tier D — Below Threshold (&lt;5)</v>
      </c>
      <c r="F41" s="27" t="n">
        <f aca="false">IF(D41="",0.25,INDEX('Bid Tiers (Popularity Score)'!$E$4:$E$7,MATCH(D41,'Bid Tiers (Popularity Score)'!$B$4:$B$7,1)))</f>
        <v>0.5</v>
      </c>
      <c r="G41" s="14"/>
    </row>
    <row r="42" customFormat="false" ht="15" hidden="false" customHeight="false" outlineLevel="0" collapsed="false">
      <c r="A42" s="25" t="s">
        <v>38</v>
      </c>
      <c r="B42" s="26" t="s">
        <v>133</v>
      </c>
      <c r="C42" s="26" t="s">
        <v>94</v>
      </c>
      <c r="D42" s="15" t="n">
        <v>49</v>
      </c>
      <c r="E42" s="26" t="str">
        <f aca="false">IF(D42="","No Data",INDEX('Bid Tiers (Popularity Score)'!$A$4:$A$7,MATCH(D42,'Bid Tiers (Popularity Score)'!$B$4:$B$7,1)))</f>
        <v>Tier A — Head Term</v>
      </c>
      <c r="F42" s="27" t="n">
        <f aca="false">IF(D42="",0.25,INDEX('Bid Tiers (Popularity Score)'!$E$4:$E$7,MATCH(D42,'Bid Tiers (Popularity Score)'!$B$4:$B$7,1)))</f>
        <v>2.5</v>
      </c>
      <c r="G42" s="14"/>
    </row>
    <row r="43" customFormat="false" ht="15" hidden="false" customHeight="false" outlineLevel="0" collapsed="false">
      <c r="A43" s="25" t="s">
        <v>38</v>
      </c>
      <c r="B43" s="26" t="s">
        <v>131</v>
      </c>
      <c r="C43" s="26" t="s">
        <v>94</v>
      </c>
      <c r="D43" s="15" t="n">
        <v>36</v>
      </c>
      <c r="E43" s="26" t="str">
        <f aca="false">IF(D43="","No Data",INDEX('Bid Tiers (Popularity Score)'!$A$4:$A$7,MATCH(D43,'Bid Tiers (Popularity Score)'!$B$4:$B$7,1)))</f>
        <v>Tier B — Mid Volume</v>
      </c>
      <c r="F43" s="27" t="n">
        <f aca="false">IF(D43="",0.25,INDEX('Bid Tiers (Popularity Score)'!$E$4:$E$7,MATCH(D43,'Bid Tiers (Popularity Score)'!$B$4:$B$7,1)))</f>
        <v>1.25</v>
      </c>
      <c r="G43" s="14"/>
    </row>
    <row r="44" customFormat="false" ht="15" hidden="false" customHeight="false" outlineLevel="0" collapsed="false">
      <c r="A44" s="25" t="s">
        <v>38</v>
      </c>
      <c r="B44" s="26" t="s">
        <v>132</v>
      </c>
      <c r="C44" s="26" t="s">
        <v>94</v>
      </c>
      <c r="D44" s="15" t="n">
        <v>33</v>
      </c>
      <c r="E44" s="26" t="str">
        <f aca="false">IF(D44="","No Data",INDEX('Bid Tiers (Popularity Score)'!$A$4:$A$7,MATCH(D44,'Bid Tiers (Popularity Score)'!$B$4:$B$7,1)))</f>
        <v>Tier B — Mid Volume</v>
      </c>
      <c r="F44" s="27" t="n">
        <f aca="false">IF(D44="",0.25,INDEX('Bid Tiers (Popularity Score)'!$E$4:$E$7,MATCH(D44,'Bid Tiers (Popularity Score)'!$B$4:$B$7,1)))</f>
        <v>1.25</v>
      </c>
      <c r="G44" s="14"/>
    </row>
    <row r="45" customFormat="false" ht="15" hidden="false" customHeight="false" outlineLevel="0" collapsed="false">
      <c r="A45" s="25" t="s">
        <v>38</v>
      </c>
      <c r="B45" s="26" t="s">
        <v>134</v>
      </c>
      <c r="C45" s="26" t="s">
        <v>94</v>
      </c>
      <c r="D45" s="15" t="n">
        <v>5</v>
      </c>
      <c r="E45" s="26" t="str">
        <f aca="false">IF(D45="","No Data",INDEX('Bid Tiers (Popularity Score)'!$A$4:$A$7,MATCH(D45,'Bid Tiers (Popularity Score)'!$B$4:$B$7,1)))</f>
        <v>Tier D — Below Threshold (&lt;5)</v>
      </c>
      <c r="F45" s="27" t="n">
        <f aca="false">IF(D45="",0.25,INDEX('Bid Tiers (Popularity Score)'!$E$4:$E$7,MATCH(D45,'Bid Tiers (Popularity Score)'!$B$4:$B$7,1)))</f>
        <v>0.5</v>
      </c>
      <c r="G45" s="14"/>
    </row>
    <row r="46" customFormat="false" ht="15" hidden="false" customHeight="false" outlineLevel="0" collapsed="false">
      <c r="A46" s="25" t="s">
        <v>38</v>
      </c>
      <c r="B46" s="26" t="s">
        <v>136</v>
      </c>
      <c r="C46" s="26" t="s">
        <v>94</v>
      </c>
      <c r="D46" s="15" t="n">
        <v>5</v>
      </c>
      <c r="E46" s="26" t="str">
        <f aca="false">IF(D46="","No Data",INDEX('Bid Tiers (Popularity Score)'!$A$4:$A$7,MATCH(D46,'Bid Tiers (Popularity Score)'!$B$4:$B$7,1)))</f>
        <v>Tier D — Below Threshold (&lt;5)</v>
      </c>
      <c r="F46" s="27" t="n">
        <f aca="false">IF(D46="",0.25,INDEX('Bid Tiers (Popularity Score)'!$E$4:$E$7,MATCH(D46,'Bid Tiers (Popularity Score)'!$B$4:$B$7,1)))</f>
        <v>0.5</v>
      </c>
      <c r="G46" s="14"/>
    </row>
    <row r="47" customFormat="false" ht="15" hidden="false" customHeight="false" outlineLevel="0" collapsed="false">
      <c r="A47" s="25" t="s">
        <v>38</v>
      </c>
      <c r="B47" s="26" t="s">
        <v>135</v>
      </c>
      <c r="C47" s="26" t="s">
        <v>94</v>
      </c>
      <c r="D47" s="15" t="n">
        <v>5</v>
      </c>
      <c r="E47" s="26" t="str">
        <f aca="false">IF(D47="","No Data",INDEX('Bid Tiers (Popularity Score)'!$A$4:$A$7,MATCH(D47,'Bid Tiers (Popularity Score)'!$B$4:$B$7,1)))</f>
        <v>Tier D — Below Threshold (&lt;5)</v>
      </c>
      <c r="F47" s="27" t="n">
        <f aca="false">IF(D47="",0.25,INDEX('Bid Tiers (Popularity Score)'!$E$4:$E$7,MATCH(D47,'Bid Tiers (Popularity Score)'!$B$4:$B$7,1)))</f>
        <v>0.5</v>
      </c>
      <c r="G47" s="14"/>
    </row>
    <row r="48" customFormat="false" ht="15" hidden="false" customHeight="false" outlineLevel="0" collapsed="false">
      <c r="A48" s="25" t="s">
        <v>41</v>
      </c>
      <c r="B48" s="26" t="s">
        <v>137</v>
      </c>
      <c r="C48" s="26" t="s">
        <v>94</v>
      </c>
      <c r="D48" s="15" t="n">
        <v>676</v>
      </c>
      <c r="E48" s="26" t="str">
        <f aca="false">IF(D48="","No Data",INDEX('Bid Tiers (Popularity Score)'!$A$4:$A$7,MATCH(D48,'Bid Tiers (Popularity Score)'!$B$4:$B$7,1)))</f>
        <v>Tier A — Head Term</v>
      </c>
      <c r="F48" s="27" t="n">
        <f aca="false">IF(D48="",0.25,INDEX('Bid Tiers (Popularity Score)'!$E$4:$E$7,MATCH(D48,'Bid Tiers (Popularity Score)'!$B$4:$B$7,1)))</f>
        <v>2.5</v>
      </c>
      <c r="G48" s="14"/>
    </row>
    <row r="49" customFormat="false" ht="15" hidden="false" customHeight="false" outlineLevel="0" collapsed="false">
      <c r="A49" s="25" t="s">
        <v>41</v>
      </c>
      <c r="B49" s="26" t="s">
        <v>138</v>
      </c>
      <c r="C49" s="26" t="s">
        <v>94</v>
      </c>
      <c r="D49" s="15" t="n">
        <v>35</v>
      </c>
      <c r="E49" s="26" t="str">
        <f aca="false">IF(D49="","No Data",INDEX('Bid Tiers (Popularity Score)'!$A$4:$A$7,MATCH(D49,'Bid Tiers (Popularity Score)'!$B$4:$B$7,1)))</f>
        <v>Tier B — Mid Volume</v>
      </c>
      <c r="F49" s="27" t="n">
        <f aca="false">IF(D49="",0.25,INDEX('Bid Tiers (Popularity Score)'!$E$4:$E$7,MATCH(D49,'Bid Tiers (Popularity Score)'!$B$4:$B$7,1)))</f>
        <v>1.25</v>
      </c>
      <c r="G49" s="14"/>
    </row>
    <row r="50" customFormat="false" ht="15" hidden="false" customHeight="false" outlineLevel="0" collapsed="false">
      <c r="A50" s="25" t="s">
        <v>41</v>
      </c>
      <c r="B50" s="26" t="s">
        <v>174</v>
      </c>
      <c r="C50" s="26" t="s">
        <v>94</v>
      </c>
      <c r="D50" s="15" t="n">
        <v>23</v>
      </c>
      <c r="E50" s="26" t="str">
        <f aca="false">IF(D50="","No Data",INDEX('Bid Tiers (Popularity Score)'!$A$4:$A$7,MATCH(D50,'Bid Tiers (Popularity Score)'!$B$4:$B$7,1)))</f>
        <v>Tier B — Mid Volume</v>
      </c>
      <c r="F50" s="27" t="n">
        <f aca="false">IF(D50="",0.25,INDEX('Bid Tiers (Popularity Score)'!$E$4:$E$7,MATCH(D50,'Bid Tiers (Popularity Score)'!$B$4:$B$7,1)))</f>
        <v>1.25</v>
      </c>
      <c r="G50" s="14"/>
    </row>
    <row r="51" customFormat="false" ht="15" hidden="false" customHeight="false" outlineLevel="0" collapsed="false">
      <c r="A51" s="25" t="s">
        <v>41</v>
      </c>
      <c r="B51" s="26" t="s">
        <v>177</v>
      </c>
      <c r="C51" s="26" t="s">
        <v>94</v>
      </c>
      <c r="D51" s="15" t="n">
        <v>39</v>
      </c>
      <c r="E51" s="26" t="str">
        <f aca="false">IF(D51="","No Data",INDEX('Bid Tiers (Popularity Score)'!$A$4:$A$7,MATCH(D51,'Bid Tiers (Popularity Score)'!$B$4:$B$7,1)))</f>
        <v>Tier B — Mid Volume</v>
      </c>
      <c r="F51" s="27" t="n">
        <f aca="false">IF(D51="",0.25,INDEX('Bid Tiers (Popularity Score)'!$E$4:$E$7,MATCH(D51,'Bid Tiers (Popularity Score)'!$B$4:$B$7,1)))</f>
        <v>1.25</v>
      </c>
      <c r="G51" s="14"/>
    </row>
    <row r="52" customFormat="false" ht="15" hidden="false" customHeight="false" outlineLevel="0" collapsed="false">
      <c r="A52" s="25" t="s">
        <v>41</v>
      </c>
      <c r="B52" s="26" t="s">
        <v>139</v>
      </c>
      <c r="C52" s="26" t="s">
        <v>94</v>
      </c>
      <c r="D52" s="15" t="n">
        <v>38</v>
      </c>
      <c r="E52" s="26" t="str">
        <f aca="false">IF(D52="","No Data",INDEX('Bid Tiers (Popularity Score)'!$A$4:$A$7,MATCH(D52,'Bid Tiers (Popularity Score)'!$B$4:$B$7,1)))</f>
        <v>Tier B — Mid Volume</v>
      </c>
      <c r="F52" s="27" t="n">
        <f aca="false">IF(D52="",0.25,INDEX('Bid Tiers (Popularity Score)'!$E$4:$E$7,MATCH(D52,'Bid Tiers (Popularity Score)'!$B$4:$B$7,1)))</f>
        <v>1.25</v>
      </c>
      <c r="G52" s="14"/>
    </row>
    <row r="53" customFormat="false" ht="15" hidden="false" customHeight="false" outlineLevel="0" collapsed="false">
      <c r="A53" s="25" t="s">
        <v>41</v>
      </c>
      <c r="B53" s="26" t="s">
        <v>256</v>
      </c>
      <c r="C53" s="26" t="s">
        <v>94</v>
      </c>
      <c r="D53" s="15" t="n">
        <v>12</v>
      </c>
      <c r="E53" s="26" t="str">
        <f aca="false">IF(D53="","No Data",INDEX('Bid Tiers (Popularity Score)'!$A$4:$A$7,MATCH(D53,'Bid Tiers (Popularity Score)'!$B$4:$B$7,1)))</f>
        <v>Tier C — Long-Tail</v>
      </c>
      <c r="F53" s="27" t="n">
        <f aca="false">IF(D53="",0.25,INDEX('Bid Tiers (Popularity Score)'!$E$4:$E$7,MATCH(D53,'Bid Tiers (Popularity Score)'!$B$4:$B$7,1)))</f>
        <v>0.75</v>
      </c>
      <c r="G53" s="14"/>
    </row>
    <row r="54" customFormat="false" ht="15" hidden="false" customHeight="false" outlineLevel="0" collapsed="false">
      <c r="A54" s="25" t="s">
        <v>41</v>
      </c>
      <c r="B54" s="26" t="s">
        <v>144</v>
      </c>
      <c r="C54" s="26" t="s">
        <v>94</v>
      </c>
      <c r="D54" s="15" t="n">
        <v>5</v>
      </c>
      <c r="E54" s="26" t="str">
        <f aca="false">IF(D54="","No Data",INDEX('Bid Tiers (Popularity Score)'!$A$4:$A$7,MATCH(D54,'Bid Tiers (Popularity Score)'!$B$4:$B$7,1)))</f>
        <v>Tier D — Below Threshold (&lt;5)</v>
      </c>
      <c r="F54" s="27" t="n">
        <f aca="false">IF(D54="",0.25,INDEX('Bid Tiers (Popularity Score)'!$E$4:$E$7,MATCH(D54,'Bid Tiers (Popularity Score)'!$B$4:$B$7,1)))</f>
        <v>0.5</v>
      </c>
      <c r="G54" s="14"/>
    </row>
    <row r="55" customFormat="false" ht="15" hidden="false" customHeight="false" outlineLevel="0" collapsed="false">
      <c r="A55" s="25" t="s">
        <v>41</v>
      </c>
      <c r="B55" s="26" t="s">
        <v>145</v>
      </c>
      <c r="C55" s="26" t="s">
        <v>94</v>
      </c>
      <c r="D55" s="15" t="n">
        <v>0</v>
      </c>
      <c r="E55" s="26" t="str">
        <f aca="false">IF(D55="","No Data",INDEX('Bid Tiers (Popularity Score)'!$A$4:$A$7,MATCH(D55,'Bid Tiers (Popularity Score)'!$B$4:$B$7,1)))</f>
        <v>Tier D — Below Threshold (&lt;5)</v>
      </c>
      <c r="F55" s="27" t="n">
        <f aca="false">IF(D55="",0.25,INDEX('Bid Tiers (Popularity Score)'!$E$4:$E$7,MATCH(D55,'Bid Tiers (Popularity Score)'!$B$4:$B$7,1)))</f>
        <v>0.5</v>
      </c>
      <c r="G55" s="14"/>
    </row>
    <row r="56" customFormat="false" ht="15" hidden="false" customHeight="false" outlineLevel="0" collapsed="false">
      <c r="A56" s="25" t="s">
        <v>41</v>
      </c>
      <c r="B56" s="26" t="s">
        <v>143</v>
      </c>
      <c r="C56" s="26" t="s">
        <v>94</v>
      </c>
      <c r="D56" s="15" t="n">
        <v>5</v>
      </c>
      <c r="E56" s="26" t="str">
        <f aca="false">IF(D56="","No Data",INDEX('Bid Tiers (Popularity Score)'!$A$4:$A$7,MATCH(D56,'Bid Tiers (Popularity Score)'!$B$4:$B$7,1)))</f>
        <v>Tier D — Below Threshold (&lt;5)</v>
      </c>
      <c r="F56" s="27" t="n">
        <f aca="false">IF(D56="",0.25,INDEX('Bid Tiers (Popularity Score)'!$E$4:$E$7,MATCH(D56,'Bid Tiers (Popularity Score)'!$B$4:$B$7,1)))</f>
        <v>0.5</v>
      </c>
      <c r="G56" s="14"/>
    </row>
    <row r="57" customFormat="false" ht="15" hidden="false" customHeight="false" outlineLevel="0" collapsed="false">
      <c r="A57" s="25" t="s">
        <v>41</v>
      </c>
      <c r="B57" s="26" t="s">
        <v>141</v>
      </c>
      <c r="C57" s="26" t="s">
        <v>94</v>
      </c>
      <c r="D57" s="15" t="n">
        <v>5</v>
      </c>
      <c r="E57" s="26" t="str">
        <f aca="false">IF(D57="","No Data",INDEX('Bid Tiers (Popularity Score)'!$A$4:$A$7,MATCH(D57,'Bid Tiers (Popularity Score)'!$B$4:$B$7,1)))</f>
        <v>Tier D — Below Threshold (&lt;5)</v>
      </c>
      <c r="F57" s="27" t="n">
        <f aca="false">IF(D57="",0.25,INDEX('Bid Tiers (Popularity Score)'!$E$4:$E$7,MATCH(D57,'Bid Tiers (Popularity Score)'!$B$4:$B$7,1)))</f>
        <v>0.5</v>
      </c>
      <c r="G57" s="14"/>
    </row>
    <row r="58" customFormat="false" ht="15" hidden="false" customHeight="false" outlineLevel="0" collapsed="false">
      <c r="A58" s="25" t="s">
        <v>41</v>
      </c>
      <c r="B58" s="26" t="s">
        <v>140</v>
      </c>
      <c r="C58" s="26" t="s">
        <v>94</v>
      </c>
      <c r="D58" s="15" t="n">
        <v>5</v>
      </c>
      <c r="E58" s="26" t="str">
        <f aca="false">IF(D58="","No Data",INDEX('Bid Tiers (Popularity Score)'!$A$4:$A$7,MATCH(D58,'Bid Tiers (Popularity Score)'!$B$4:$B$7,1)))</f>
        <v>Tier D — Below Threshold (&lt;5)</v>
      </c>
      <c r="F58" s="27" t="n">
        <f aca="false">IF(D58="",0.25,INDEX('Bid Tiers (Popularity Score)'!$E$4:$E$7,MATCH(D58,'Bid Tiers (Popularity Score)'!$B$4:$B$7,1)))</f>
        <v>0.5</v>
      </c>
      <c r="G58" s="14"/>
    </row>
    <row r="59" customFormat="false" ht="15" hidden="false" customHeight="false" outlineLevel="0" collapsed="false">
      <c r="A59" s="25" t="s">
        <v>44</v>
      </c>
      <c r="B59" s="26" t="s">
        <v>146</v>
      </c>
      <c r="C59" s="26" t="s">
        <v>94</v>
      </c>
      <c r="D59" s="15" t="n">
        <v>31</v>
      </c>
      <c r="E59" s="26" t="str">
        <f aca="false">IF(D59="","No Data",INDEX('Bid Tiers (Popularity Score)'!$A$4:$A$7,MATCH(D59,'Bid Tiers (Popularity Score)'!$B$4:$B$7,1)))</f>
        <v>Tier B — Mid Volume</v>
      </c>
      <c r="F59" s="27" t="n">
        <f aca="false">IF(D59="",0.25,INDEX('Bid Tiers (Popularity Score)'!$E$4:$E$7,MATCH(D59,'Bid Tiers (Popularity Score)'!$B$4:$B$7,1)))</f>
        <v>1.25</v>
      </c>
      <c r="G59" s="14"/>
    </row>
    <row r="60" customFormat="false" ht="15" hidden="false" customHeight="false" outlineLevel="0" collapsed="false">
      <c r="A60" s="25" t="s">
        <v>44</v>
      </c>
      <c r="B60" s="26" t="s">
        <v>151</v>
      </c>
      <c r="C60" s="26" t="s">
        <v>94</v>
      </c>
      <c r="D60" s="15"/>
      <c r="E60" s="26" t="str">
        <f aca="false">IF(D60="","No Data",INDEX('Bid Tiers (Popularity Score)'!$A$4:$A$7,MATCH(D60,'Bid Tiers (Popularity Score)'!$B$4:$B$7,1)))</f>
        <v>No Data</v>
      </c>
      <c r="F60" s="27" t="n">
        <f aca="false">IF(D60="",0.25,INDEX('Bid Tiers (Popularity Score)'!$E$4:$E$7,MATCH(D60,'Bid Tiers (Popularity Score)'!$B$4:$B$7,1)))</f>
        <v>0.25</v>
      </c>
      <c r="G60" s="14"/>
    </row>
    <row r="61" customFormat="false" ht="15" hidden="false" customHeight="false" outlineLevel="0" collapsed="false">
      <c r="A61" s="25" t="s">
        <v>44</v>
      </c>
      <c r="B61" s="26" t="s">
        <v>147</v>
      </c>
      <c r="C61" s="26" t="s">
        <v>94</v>
      </c>
      <c r="D61" s="15" t="n">
        <v>5</v>
      </c>
      <c r="E61" s="26" t="str">
        <f aca="false">IF(D61="","No Data",INDEX('Bid Tiers (Popularity Score)'!$A$4:$A$7,MATCH(D61,'Bid Tiers (Popularity Score)'!$B$4:$B$7,1)))</f>
        <v>Tier D — Below Threshold (&lt;5)</v>
      </c>
      <c r="F61" s="27" t="n">
        <f aca="false">IF(D61="",0.25,INDEX('Bid Tiers (Popularity Score)'!$E$4:$E$7,MATCH(D61,'Bid Tiers (Popularity Score)'!$B$4:$B$7,1)))</f>
        <v>0.5</v>
      </c>
      <c r="G61" s="14"/>
    </row>
    <row r="62" customFormat="false" ht="15" hidden="false" customHeight="false" outlineLevel="0" collapsed="false">
      <c r="A62" s="25" t="s">
        <v>44</v>
      </c>
      <c r="B62" s="26" t="s">
        <v>148</v>
      </c>
      <c r="C62" s="26" t="s">
        <v>94</v>
      </c>
      <c r="D62" s="15" t="n">
        <v>5</v>
      </c>
      <c r="E62" s="26" t="str">
        <f aca="false">IF(D62="","No Data",INDEX('Bid Tiers (Popularity Score)'!$A$4:$A$7,MATCH(D62,'Bid Tiers (Popularity Score)'!$B$4:$B$7,1)))</f>
        <v>Tier D — Below Threshold (&lt;5)</v>
      </c>
      <c r="F62" s="27" t="n">
        <f aca="false">IF(D62="",0.25,INDEX('Bid Tiers (Popularity Score)'!$E$4:$E$7,MATCH(D62,'Bid Tiers (Popularity Score)'!$B$4:$B$7,1)))</f>
        <v>0.5</v>
      </c>
      <c r="G62" s="14"/>
    </row>
    <row r="63" customFormat="false" ht="15" hidden="false" customHeight="false" outlineLevel="0" collapsed="false">
      <c r="A63" s="25" t="s">
        <v>47</v>
      </c>
      <c r="B63" s="26" t="s">
        <v>152</v>
      </c>
      <c r="C63" s="26" t="s">
        <v>94</v>
      </c>
      <c r="D63" s="15" t="n">
        <v>5</v>
      </c>
      <c r="E63" s="26" t="str">
        <f aca="false">IF(D63="","No Data",INDEX('Bid Tiers (Popularity Score)'!$A$4:$A$7,MATCH(D63,'Bid Tiers (Popularity Score)'!$B$4:$B$7,1)))</f>
        <v>Tier D — Below Threshold (&lt;5)</v>
      </c>
      <c r="F63" s="27" t="n">
        <f aca="false">IF(D63="",0.25,INDEX('Bid Tiers (Popularity Score)'!$E$4:$E$7,MATCH(D63,'Bid Tiers (Popularity Score)'!$B$4:$B$7,1)))</f>
        <v>0.5</v>
      </c>
      <c r="G63" s="14"/>
    </row>
    <row r="64" customFormat="false" ht="15" hidden="false" customHeight="false" outlineLevel="0" collapsed="false">
      <c r="A64" s="25" t="s">
        <v>47</v>
      </c>
      <c r="B64" s="26" t="s">
        <v>153</v>
      </c>
      <c r="C64" s="26" t="s">
        <v>94</v>
      </c>
      <c r="D64" s="15" t="n">
        <v>5</v>
      </c>
      <c r="E64" s="26" t="str">
        <f aca="false">IF(D64="","No Data",INDEX('Bid Tiers (Popularity Score)'!$A$4:$A$7,MATCH(D64,'Bid Tiers (Popularity Score)'!$B$4:$B$7,1)))</f>
        <v>Tier D — Below Threshold (&lt;5)</v>
      </c>
      <c r="F64" s="27" t="n">
        <f aca="false">IF(D64="",0.25,INDEX('Bid Tiers (Popularity Score)'!$E$4:$E$7,MATCH(D64,'Bid Tiers (Popularity Score)'!$B$4:$B$7,1)))</f>
        <v>0.5</v>
      </c>
      <c r="G64" s="14"/>
    </row>
  </sheetData>
  <autoFilter ref="A3:G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247</v>
      </c>
    </row>
    <row r="3" customFormat="false" ht="26.8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248</v>
      </c>
      <c r="E3" s="6" t="s">
        <v>58</v>
      </c>
      <c r="F3" s="6" t="s">
        <v>91</v>
      </c>
      <c r="G3" s="6" t="s">
        <v>20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190</v>
      </c>
      <c r="C8" s="26" t="s">
        <v>94</v>
      </c>
      <c r="D8" s="15"/>
      <c r="E8" s="26" t="str">
        <f aca="false">IF(D8="","No Data",INDEX('Bid Tiers (Popularity Score)'!$A$4:$A$7,MATCH(D8,'Bid Tiers (Popularity Score)'!$B$4:$B$7,1)))</f>
        <v>No Data</v>
      </c>
      <c r="F8" s="27" t="n">
        <f aca="false">IF(D8="",0.25,INDEX('Bid Tiers (Popularity Score)'!$E$4:$E$7,MATCH(D8,'Bid Tiers (Popularity Score)'!$B$4:$B$7,1)))</f>
        <v>0.25</v>
      </c>
      <c r="G8" s="14"/>
    </row>
    <row r="9" customFormat="false" ht="15" hidden="false" customHeight="false" outlineLevel="0" collapsed="false">
      <c r="A9" s="25" t="s">
        <v>29</v>
      </c>
      <c r="B9" s="26" t="s">
        <v>155</v>
      </c>
      <c r="C9" s="26" t="s">
        <v>94</v>
      </c>
      <c r="D9" s="15"/>
      <c r="E9" s="26" t="str">
        <f aca="false">IF(D9="","No Data",INDEX('Bid Tiers (Popularity Score)'!$A$4:$A$7,MATCH(D9,'Bid Tiers (Popularity Score)'!$B$4:$B$7,1)))</f>
        <v>No Data</v>
      </c>
      <c r="F9" s="27" t="n">
        <f aca="false">IF(D9="",0.25,INDEX('Bid Tiers (Popularity Score)'!$E$4:$E$7,MATCH(D9,'Bid Tiers (Popularity Score)'!$B$4:$B$7,1)))</f>
        <v>0.25</v>
      </c>
      <c r="G9" s="14"/>
    </row>
    <row r="10" customFormat="false" ht="15" hidden="false" customHeight="false" outlineLevel="0" collapsed="false">
      <c r="A10" s="25" t="s">
        <v>32</v>
      </c>
      <c r="B10" s="26" t="s">
        <v>258</v>
      </c>
      <c r="C10" s="26" t="s">
        <v>94</v>
      </c>
      <c r="D10" s="15"/>
      <c r="E10" s="26" t="str">
        <f aca="false">IF(D10="","No Data",INDEX('Bid Tiers (Popularity Score)'!$A$4:$A$7,MATCH(D10,'Bid Tiers (Popularity Score)'!$B$4:$B$7,1)))</f>
        <v>No Data</v>
      </c>
      <c r="F10" s="27" t="n">
        <f aca="false">IF(D10="",0.25,INDEX('Bid Tiers (Popularity Score)'!$E$4:$E$7,MATCH(D10,'Bid Tiers (Popularity Score)'!$B$4:$B$7,1)))</f>
        <v>0.25</v>
      </c>
      <c r="G10" s="14"/>
    </row>
    <row r="11" customFormat="false" ht="15" hidden="false" customHeight="false" outlineLevel="0" collapsed="false">
      <c r="A11" s="25" t="s">
        <v>32</v>
      </c>
      <c r="B11" s="26" t="s">
        <v>259</v>
      </c>
      <c r="C11" s="26" t="s">
        <v>94</v>
      </c>
      <c r="D11" s="15"/>
      <c r="E11" s="26" t="str">
        <f aca="false">IF(D11="","No Data",INDEX('Bid Tiers (Popularity Score)'!$A$4:$A$7,MATCH(D11,'Bid Tiers (Popularity Score)'!$B$4:$B$7,1)))</f>
        <v>No Data</v>
      </c>
      <c r="F11" s="27" t="n">
        <f aca="false">IF(D11="",0.25,INDEX('Bid Tiers (Popularity Score)'!$E$4:$E$7,MATCH(D11,'Bid Tiers (Popularity Score)'!$B$4:$B$7,1)))</f>
        <v>0.25</v>
      </c>
      <c r="G11" s="14"/>
    </row>
    <row r="12" customFormat="false" ht="15" hidden="false" customHeight="false" outlineLevel="0" collapsed="false">
      <c r="A12" s="25" t="s">
        <v>32</v>
      </c>
      <c r="B12" s="26" t="s">
        <v>223</v>
      </c>
      <c r="C12" s="26" t="s">
        <v>94</v>
      </c>
      <c r="D12" s="15"/>
      <c r="E12" s="26" t="str">
        <f aca="false">IF(D12="","No Data",INDEX('Bid Tiers (Popularity Score)'!$A$4:$A$7,MATCH(D12,'Bid Tiers (Popularity Score)'!$B$4:$B$7,1)))</f>
        <v>No Data</v>
      </c>
      <c r="F12" s="27" t="n">
        <f aca="false">IF(D12="",0.25,INDEX('Bid Tiers (Popularity Score)'!$E$4:$E$7,MATCH(D12,'Bid Tiers (Popularity Score)'!$B$4:$B$7,1)))</f>
        <v>0.25</v>
      </c>
      <c r="G12" s="14"/>
    </row>
    <row r="13" customFormat="false" ht="15" hidden="false" customHeight="false" outlineLevel="0" collapsed="false">
      <c r="A13" s="25" t="s">
        <v>32</v>
      </c>
      <c r="B13" s="26" t="s">
        <v>111</v>
      </c>
      <c r="C13" s="26" t="s">
        <v>94</v>
      </c>
      <c r="D13" s="15"/>
      <c r="E13" s="26" t="str">
        <f aca="false">IF(D13="","No Data",INDEX('Bid Tiers (Popularity Score)'!$A$4:$A$7,MATCH(D13,'Bid Tiers (Popularity Score)'!$B$4:$B$7,1)))</f>
        <v>No Data</v>
      </c>
      <c r="F13" s="27" t="n">
        <f aca="false">IF(D13="",0.25,INDEX('Bid Tiers (Popularity Score)'!$E$4:$E$7,MATCH(D13,'Bid Tiers (Popularity Score)'!$B$4:$B$7,1)))</f>
        <v>0.25</v>
      </c>
      <c r="G13" s="14"/>
    </row>
    <row r="14" customFormat="false" ht="15" hidden="false" customHeight="false" outlineLevel="0" collapsed="false">
      <c r="A14" s="25" t="s">
        <v>32</v>
      </c>
      <c r="B14" s="26" t="s">
        <v>260</v>
      </c>
      <c r="C14" s="26" t="s">
        <v>94</v>
      </c>
      <c r="D14" s="15"/>
      <c r="E14" s="26" t="str">
        <f aca="false">IF(D14="","No Data",INDEX('Bid Tiers (Popularity Score)'!$A$4:$A$7,MATCH(D14,'Bid Tiers (Popularity Score)'!$B$4:$B$7,1)))</f>
        <v>No Data</v>
      </c>
      <c r="F14" s="27" t="n">
        <f aca="false">IF(D14="",0.25,INDEX('Bid Tiers (Popularity Score)'!$E$4:$E$7,MATCH(D14,'Bid Tiers (Popularity Score)'!$B$4:$B$7,1)))</f>
        <v>0.25</v>
      </c>
      <c r="G14" s="14"/>
    </row>
    <row r="15" customFormat="false" ht="15" hidden="false" customHeight="false" outlineLevel="0" collapsed="false">
      <c r="A15" s="25" t="s">
        <v>32</v>
      </c>
      <c r="B15" s="26" t="s">
        <v>107</v>
      </c>
      <c r="C15" s="26" t="s">
        <v>94</v>
      </c>
      <c r="D15" s="15"/>
      <c r="E15" s="26" t="str">
        <f aca="false">IF(D15="","No Data",INDEX('Bid Tiers (Popularity Score)'!$A$4:$A$7,MATCH(D15,'Bid Tiers (Popularity Score)'!$B$4:$B$7,1)))</f>
        <v>No Data</v>
      </c>
      <c r="F15" s="27" t="n">
        <f aca="false">IF(D15="",0.25,INDEX('Bid Tiers (Popularity Score)'!$E$4:$E$7,MATCH(D15,'Bid Tiers (Popularity Score)'!$B$4:$B$7,1)))</f>
        <v>0.25</v>
      </c>
      <c r="G15" s="14"/>
    </row>
    <row r="16" customFormat="false" ht="15" hidden="false" customHeight="false" outlineLevel="0" collapsed="false">
      <c r="A16" s="25" t="s">
        <v>32</v>
      </c>
      <c r="B16" s="26" t="s">
        <v>156</v>
      </c>
      <c r="C16" s="26" t="s">
        <v>94</v>
      </c>
      <c r="D16" s="15"/>
      <c r="E16" s="26" t="str">
        <f aca="false">IF(D16="","No Data",INDEX('Bid Tiers (Popularity Score)'!$A$4:$A$7,MATCH(D16,'Bid Tiers (Popularity Score)'!$B$4:$B$7,1)))</f>
        <v>No Data</v>
      </c>
      <c r="F16" s="27" t="n">
        <f aca="false">IF(D16="",0.25,INDEX('Bid Tiers (Popularity Score)'!$E$4:$E$7,MATCH(D16,'Bid Tiers (Popularity Score)'!$B$4:$B$7,1)))</f>
        <v>0.25</v>
      </c>
      <c r="G16" s="14"/>
    </row>
    <row r="17" customFormat="false" ht="15" hidden="false" customHeight="false" outlineLevel="0" collapsed="false">
      <c r="A17" s="25" t="s">
        <v>32</v>
      </c>
      <c r="B17" s="26" t="s">
        <v>261</v>
      </c>
      <c r="C17" s="26" t="s">
        <v>94</v>
      </c>
      <c r="D17" s="15"/>
      <c r="E17" s="26" t="str">
        <f aca="false">IF(D17="","No Data",INDEX('Bid Tiers (Popularity Score)'!$A$4:$A$7,MATCH(D17,'Bid Tiers (Popularity Score)'!$B$4:$B$7,1)))</f>
        <v>No Data</v>
      </c>
      <c r="F17" s="27" t="n">
        <f aca="false">IF(D17="",0.25,INDEX('Bid Tiers (Popularity Score)'!$E$4:$E$7,MATCH(D17,'Bid Tiers (Popularity Score)'!$B$4:$B$7,1)))</f>
        <v>0.25</v>
      </c>
      <c r="G17" s="14"/>
    </row>
    <row r="18" customFormat="false" ht="15" hidden="false" customHeight="false" outlineLevel="0" collapsed="false">
      <c r="A18" s="25" t="s">
        <v>32</v>
      </c>
      <c r="B18" s="26" t="s">
        <v>224</v>
      </c>
      <c r="C18" s="26" t="s">
        <v>94</v>
      </c>
      <c r="D18" s="15"/>
      <c r="E18" s="26" t="str">
        <f aca="false">IF(D18="","No Data",INDEX('Bid Tiers (Popularity Score)'!$A$4:$A$7,MATCH(D18,'Bid Tiers (Popularity Score)'!$B$4:$B$7,1)))</f>
        <v>No Data</v>
      </c>
      <c r="F18" s="27" t="n">
        <f aca="false">IF(D18="",0.25,INDEX('Bid Tiers (Popularity Score)'!$E$4:$E$7,MATCH(D18,'Bid Tiers (Popularity Score)'!$B$4:$B$7,1)))</f>
        <v>0.25</v>
      </c>
      <c r="G18" s="14"/>
    </row>
    <row r="19" customFormat="false" ht="15" hidden="false" customHeight="false" outlineLevel="0" collapsed="false">
      <c r="A19" s="25" t="s">
        <v>32</v>
      </c>
      <c r="B19" s="26" t="s">
        <v>160</v>
      </c>
      <c r="C19" s="26" t="s">
        <v>94</v>
      </c>
      <c r="D19" s="15"/>
      <c r="E19" s="26" t="str">
        <f aca="false">IF(D19="","No Data",INDEX('Bid Tiers (Popularity Score)'!$A$4:$A$7,MATCH(D19,'Bid Tiers (Popularity Score)'!$B$4:$B$7,1)))</f>
        <v>No Data</v>
      </c>
      <c r="F19" s="27" t="n">
        <f aca="false">IF(D19="",0.25,INDEX('Bid Tiers (Popularity Score)'!$E$4:$E$7,MATCH(D19,'Bid Tiers (Popularity Score)'!$B$4:$B$7,1)))</f>
        <v>0.25</v>
      </c>
      <c r="G19" s="14"/>
    </row>
    <row r="20" customFormat="false" ht="15" hidden="false" customHeight="false" outlineLevel="0" collapsed="false">
      <c r="A20" s="25" t="s">
        <v>32</v>
      </c>
      <c r="B20" s="26" t="s">
        <v>112</v>
      </c>
      <c r="C20" s="26" t="s">
        <v>94</v>
      </c>
      <c r="D20" s="15"/>
      <c r="E20" s="26" t="str">
        <f aca="false">IF(D20="","No Data",INDEX('Bid Tiers (Popularity Score)'!$A$4:$A$7,MATCH(D20,'Bid Tiers (Popularity Score)'!$B$4:$B$7,1)))</f>
        <v>No Data</v>
      </c>
      <c r="F20" s="27" t="n">
        <f aca="false">IF(D20="",0.25,INDEX('Bid Tiers (Popularity Score)'!$E$4:$E$7,MATCH(D20,'Bid Tiers (Popularity Score)'!$B$4:$B$7,1)))</f>
        <v>0.25</v>
      </c>
      <c r="G20" s="14"/>
    </row>
    <row r="21" customFormat="false" ht="15" hidden="false" customHeight="false" outlineLevel="0" collapsed="false">
      <c r="A21" s="25" t="s">
        <v>32</v>
      </c>
      <c r="B21" s="26" t="s">
        <v>115</v>
      </c>
      <c r="C21" s="26" t="s">
        <v>94</v>
      </c>
      <c r="D21" s="15"/>
      <c r="E21" s="26" t="str">
        <f aca="false">IF(D21="","No Data",INDEX('Bid Tiers (Popularity Score)'!$A$4:$A$7,MATCH(D21,'Bid Tiers (Popularity Score)'!$B$4:$B$7,1)))</f>
        <v>No Data</v>
      </c>
      <c r="F21" s="27" t="n">
        <f aca="false">IF(D21="",0.25,INDEX('Bid Tiers (Popularity Score)'!$E$4:$E$7,MATCH(D21,'Bid Tiers (Popularity Score)'!$B$4:$B$7,1)))</f>
        <v>0.25</v>
      </c>
      <c r="G21" s="14"/>
    </row>
    <row r="22" customFormat="false" ht="15" hidden="false" customHeight="false" outlineLevel="0" collapsed="false">
      <c r="A22" s="25" t="s">
        <v>32</v>
      </c>
      <c r="B22" s="26" t="s">
        <v>113</v>
      </c>
      <c r="C22" s="26" t="s">
        <v>94</v>
      </c>
      <c r="D22" s="15"/>
      <c r="E22" s="26" t="str">
        <f aca="false">IF(D22="","No Data",INDEX('Bid Tiers (Popularity Score)'!$A$4:$A$7,MATCH(D22,'Bid Tiers (Popularity Score)'!$B$4:$B$7,1)))</f>
        <v>No Data</v>
      </c>
      <c r="F22" s="27" t="n">
        <f aca="false">IF(D22="",0.25,INDEX('Bid Tiers (Popularity Score)'!$E$4:$E$7,MATCH(D22,'Bid Tiers (Popularity Score)'!$B$4:$B$7,1)))</f>
        <v>0.25</v>
      </c>
      <c r="G22" s="14"/>
    </row>
    <row r="23" customFormat="false" ht="15" hidden="false" customHeight="false" outlineLevel="0" collapsed="false">
      <c r="A23" s="25" t="s">
        <v>32</v>
      </c>
      <c r="B23" s="26" t="s">
        <v>162</v>
      </c>
      <c r="C23" s="26" t="s">
        <v>94</v>
      </c>
      <c r="D23" s="15"/>
      <c r="E23" s="26" t="str">
        <f aca="false">IF(D23="","No Data",INDEX('Bid Tiers (Popularity Score)'!$A$4:$A$7,MATCH(D23,'Bid Tiers (Popularity Score)'!$B$4:$B$7,1)))</f>
        <v>No Data</v>
      </c>
      <c r="F23" s="27" t="n">
        <f aca="false">IF(D23="",0.25,INDEX('Bid Tiers (Popularity Score)'!$E$4:$E$7,MATCH(D23,'Bid Tiers (Popularity Score)'!$B$4:$B$7,1)))</f>
        <v>0.25</v>
      </c>
      <c r="G23" s="14"/>
    </row>
    <row r="24" customFormat="false" ht="15" hidden="false" customHeight="false" outlineLevel="0" collapsed="false">
      <c r="A24" s="25" t="s">
        <v>32</v>
      </c>
      <c r="B24" s="26" t="s">
        <v>262</v>
      </c>
      <c r="C24" s="26" t="s">
        <v>94</v>
      </c>
      <c r="D24" s="15" t="n">
        <v>0</v>
      </c>
      <c r="E24" s="26" t="str">
        <f aca="false">IF(D24="","No Data",INDEX('Bid Tiers (Popularity Score)'!$A$4:$A$7,MATCH(D24,'Bid Tiers (Popularity Score)'!$B$4:$B$7,1)))</f>
        <v>Tier D — Below Threshold (&lt;5)</v>
      </c>
      <c r="F24" s="27" t="n">
        <f aca="false">IF(D24="",0.25,INDEX('Bid Tiers (Popularity Score)'!$E$4:$E$7,MATCH(D24,'Bid Tiers (Popularity Score)'!$B$4:$B$7,1)))</f>
        <v>0.5</v>
      </c>
      <c r="G24" s="14"/>
    </row>
    <row r="25" customFormat="false" ht="15" hidden="false" customHeight="false" outlineLevel="0" collapsed="false">
      <c r="A25" s="25" t="s">
        <v>32</v>
      </c>
      <c r="B25" s="26" t="s">
        <v>263</v>
      </c>
      <c r="C25" s="26" t="s">
        <v>94</v>
      </c>
      <c r="D25" s="15"/>
      <c r="E25" s="26" t="str">
        <f aca="false">IF(D25="","No Data",INDEX('Bid Tiers (Popularity Score)'!$A$4:$A$7,MATCH(D25,'Bid Tiers (Popularity Score)'!$B$4:$B$7,1)))</f>
        <v>No Data</v>
      </c>
      <c r="F25" s="27" t="n">
        <f aca="false">IF(D25="",0.25,INDEX('Bid Tiers (Popularity Score)'!$E$4:$E$7,MATCH(D25,'Bid Tiers (Popularity Score)'!$B$4:$B$7,1)))</f>
        <v>0.25</v>
      </c>
      <c r="G25" s="14"/>
    </row>
    <row r="26" customFormat="false" ht="15" hidden="false" customHeight="false" outlineLevel="0" collapsed="false">
      <c r="A26" s="25" t="s">
        <v>32</v>
      </c>
      <c r="B26" s="26" t="s">
        <v>264</v>
      </c>
      <c r="C26" s="26" t="s">
        <v>94</v>
      </c>
      <c r="D26" s="15"/>
      <c r="E26" s="26" t="str">
        <f aca="false">IF(D26="","No Data",INDEX('Bid Tiers (Popularity Score)'!$A$4:$A$7,MATCH(D26,'Bid Tiers (Popularity Score)'!$B$4:$B$7,1)))</f>
        <v>No Data</v>
      </c>
      <c r="F26" s="27" t="n">
        <f aca="false">IF(D26="",0.25,INDEX('Bid Tiers (Popularity Score)'!$E$4:$E$7,MATCH(D26,'Bid Tiers (Popularity Score)'!$B$4:$B$7,1)))</f>
        <v>0.25</v>
      </c>
      <c r="G26" s="14"/>
    </row>
    <row r="27" customFormat="false" ht="15" hidden="false" customHeight="false" outlineLevel="0" collapsed="false">
      <c r="A27" s="25" t="s">
        <v>35</v>
      </c>
      <c r="B27" s="26" t="s">
        <v>118</v>
      </c>
      <c r="C27" s="26" t="s">
        <v>94</v>
      </c>
      <c r="D27" s="15"/>
      <c r="E27" s="26" t="str">
        <f aca="false">IF(D27="","No Data",INDEX('Bid Tiers (Popularity Score)'!$A$4:$A$7,MATCH(D27,'Bid Tiers (Popularity Score)'!$B$4:$B$7,1)))</f>
        <v>No Data</v>
      </c>
      <c r="F27" s="27" t="n">
        <f aca="false">IF(D27="",0.25,INDEX('Bid Tiers (Popularity Score)'!$E$4:$E$7,MATCH(D27,'Bid Tiers (Popularity Score)'!$B$4:$B$7,1)))</f>
        <v>0.25</v>
      </c>
      <c r="G27" s="14"/>
    </row>
    <row r="28" customFormat="false" ht="15" hidden="false" customHeight="false" outlineLevel="0" collapsed="false">
      <c r="A28" s="25" t="s">
        <v>35</v>
      </c>
      <c r="B28" s="26" t="s">
        <v>265</v>
      </c>
      <c r="C28" s="26" t="s">
        <v>94</v>
      </c>
      <c r="D28" s="15"/>
      <c r="E28" s="26" t="str">
        <f aca="false">IF(D28="","No Data",INDEX('Bid Tiers (Popularity Score)'!$A$4:$A$7,MATCH(D28,'Bid Tiers (Popularity Score)'!$B$4:$B$7,1)))</f>
        <v>No Data</v>
      </c>
      <c r="F28" s="27" t="n">
        <f aca="false">IF(D28="",0.25,INDEX('Bid Tiers (Popularity Score)'!$E$4:$E$7,MATCH(D28,'Bid Tiers (Popularity Score)'!$B$4:$B$7,1)))</f>
        <v>0.25</v>
      </c>
      <c r="G28" s="14"/>
    </row>
    <row r="29" customFormat="false" ht="15" hidden="false" customHeight="false" outlineLevel="0" collapsed="false">
      <c r="A29" s="25" t="s">
        <v>35</v>
      </c>
      <c r="B29" s="26" t="s">
        <v>121</v>
      </c>
      <c r="C29" s="26" t="s">
        <v>94</v>
      </c>
      <c r="D29" s="15"/>
      <c r="E29" s="26" t="str">
        <f aca="false">IF(D29="","No Data",INDEX('Bid Tiers (Popularity Score)'!$A$4:$A$7,MATCH(D29,'Bid Tiers (Popularity Score)'!$B$4:$B$7,1)))</f>
        <v>No Data</v>
      </c>
      <c r="F29" s="27" t="n">
        <f aca="false">IF(D29="",0.25,INDEX('Bid Tiers (Popularity Score)'!$E$4:$E$7,MATCH(D29,'Bid Tiers (Popularity Score)'!$B$4:$B$7,1)))</f>
        <v>0.25</v>
      </c>
      <c r="G29" s="14"/>
    </row>
    <row r="30" customFormat="false" ht="15" hidden="false" customHeight="false" outlineLevel="0" collapsed="false">
      <c r="A30" s="25" t="s">
        <v>35</v>
      </c>
      <c r="B30" s="26" t="s">
        <v>117</v>
      </c>
      <c r="C30" s="26" t="s">
        <v>94</v>
      </c>
      <c r="D30" s="15"/>
      <c r="E30" s="26" t="str">
        <f aca="false">IF(D30="","No Data",INDEX('Bid Tiers (Popularity Score)'!$A$4:$A$7,MATCH(D30,'Bid Tiers (Popularity Score)'!$B$4:$B$7,1)))</f>
        <v>No Data</v>
      </c>
      <c r="F30" s="27" t="n">
        <f aca="false">IF(D30="",0.25,INDEX('Bid Tiers (Popularity Score)'!$E$4:$E$7,MATCH(D30,'Bid Tiers (Popularity Score)'!$B$4:$B$7,1)))</f>
        <v>0.25</v>
      </c>
      <c r="G30" s="14"/>
    </row>
    <row r="31" customFormat="false" ht="15" hidden="false" customHeight="false" outlineLevel="0" collapsed="false">
      <c r="A31" s="25" t="s">
        <v>35</v>
      </c>
      <c r="B31" s="26" t="s">
        <v>119</v>
      </c>
      <c r="C31" s="26" t="s">
        <v>94</v>
      </c>
      <c r="D31" s="15"/>
      <c r="E31" s="26" t="str">
        <f aca="false">IF(D31="","No Data",INDEX('Bid Tiers (Popularity Score)'!$A$4:$A$7,MATCH(D31,'Bid Tiers (Popularity Score)'!$B$4:$B$7,1)))</f>
        <v>No Data</v>
      </c>
      <c r="F31" s="27" t="n">
        <f aca="false">IF(D31="",0.25,INDEX('Bid Tiers (Popularity Score)'!$E$4:$E$7,MATCH(D31,'Bid Tiers (Popularity Score)'!$B$4:$B$7,1)))</f>
        <v>0.25</v>
      </c>
      <c r="G31" s="14"/>
    </row>
    <row r="32" customFormat="false" ht="15" hidden="false" customHeight="false" outlineLevel="0" collapsed="false">
      <c r="A32" s="25" t="s">
        <v>35</v>
      </c>
      <c r="B32" s="26" t="s">
        <v>165</v>
      </c>
      <c r="C32" s="26" t="s">
        <v>94</v>
      </c>
      <c r="D32" s="15"/>
      <c r="E32" s="26" t="str">
        <f aca="false">IF(D32="","No Data",INDEX('Bid Tiers (Popularity Score)'!$A$4:$A$7,MATCH(D32,'Bid Tiers (Popularity Score)'!$B$4:$B$7,1)))</f>
        <v>No Data</v>
      </c>
      <c r="F32" s="27" t="n">
        <f aca="false">IF(D32="",0.25,INDEX('Bid Tiers (Popularity Score)'!$E$4:$E$7,MATCH(D32,'Bid Tiers (Popularity Score)'!$B$4:$B$7,1)))</f>
        <v>0.25</v>
      </c>
      <c r="G32" s="14"/>
    </row>
    <row r="33" customFormat="false" ht="15" hidden="false" customHeight="false" outlineLevel="0" collapsed="false">
      <c r="A33" s="25" t="s">
        <v>35</v>
      </c>
      <c r="B33" s="26" t="s">
        <v>168</v>
      </c>
      <c r="C33" s="26" t="s">
        <v>94</v>
      </c>
      <c r="D33" s="15"/>
      <c r="E33" s="26" t="str">
        <f aca="false">IF(D33="","No Data",INDEX('Bid Tiers (Popularity Score)'!$A$4:$A$7,MATCH(D33,'Bid Tiers (Popularity Score)'!$B$4:$B$7,1)))</f>
        <v>No Data</v>
      </c>
      <c r="F33" s="27" t="n">
        <f aca="false">IF(D33="",0.25,INDEX('Bid Tiers (Popularity Score)'!$E$4:$E$7,MATCH(D33,'Bid Tiers (Popularity Score)'!$B$4:$B$7,1)))</f>
        <v>0.25</v>
      </c>
      <c r="G33" s="14"/>
    </row>
    <row r="34" customFormat="false" ht="15" hidden="false" customHeight="false" outlineLevel="0" collapsed="false">
      <c r="A34" s="25" t="s">
        <v>35</v>
      </c>
      <c r="B34" s="26" t="s">
        <v>266</v>
      </c>
      <c r="C34" s="26" t="s">
        <v>94</v>
      </c>
      <c r="D34" s="15"/>
      <c r="E34" s="26" t="str">
        <f aca="false">IF(D34="","No Data",INDEX('Bid Tiers (Popularity Score)'!$A$4:$A$7,MATCH(D34,'Bid Tiers (Popularity Score)'!$B$4:$B$7,1)))</f>
        <v>No Data</v>
      </c>
      <c r="F34" s="27" t="n">
        <f aca="false">IF(D34="",0.25,INDEX('Bid Tiers (Popularity Score)'!$E$4:$E$7,MATCH(D34,'Bid Tiers (Popularity Score)'!$B$4:$B$7,1)))</f>
        <v>0.25</v>
      </c>
      <c r="G34" s="14"/>
    </row>
    <row r="35" customFormat="false" ht="15" hidden="false" customHeight="false" outlineLevel="0" collapsed="false">
      <c r="A35" s="25" t="s">
        <v>35</v>
      </c>
      <c r="B35" s="26" t="s">
        <v>123</v>
      </c>
      <c r="C35" s="26" t="s">
        <v>94</v>
      </c>
      <c r="D35" s="15"/>
      <c r="E35" s="26" t="str">
        <f aca="false">IF(D35="","No Data",INDEX('Bid Tiers (Popularity Score)'!$A$4:$A$7,MATCH(D35,'Bid Tiers (Popularity Score)'!$B$4:$B$7,1)))</f>
        <v>No Data</v>
      </c>
      <c r="F35" s="27" t="n">
        <f aca="false">IF(D35="",0.25,INDEX('Bid Tiers (Popularity Score)'!$E$4:$E$7,MATCH(D35,'Bid Tiers (Popularity Score)'!$B$4:$B$7,1)))</f>
        <v>0.25</v>
      </c>
      <c r="G35" s="14"/>
    </row>
    <row r="36" customFormat="false" ht="15" hidden="false" customHeight="false" outlineLevel="0" collapsed="false">
      <c r="A36" s="25" t="s">
        <v>35</v>
      </c>
      <c r="B36" s="26" t="s">
        <v>129</v>
      </c>
      <c r="C36" s="26" t="s">
        <v>94</v>
      </c>
      <c r="D36" s="15"/>
      <c r="E36" s="26" t="str">
        <f aca="false">IF(D36="","No Data",INDEX('Bid Tiers (Popularity Score)'!$A$4:$A$7,MATCH(D36,'Bid Tiers (Popularity Score)'!$B$4:$B$7,1)))</f>
        <v>No Data</v>
      </c>
      <c r="F36" s="27" t="n">
        <f aca="false">IF(D36="",0.25,INDEX('Bid Tiers (Popularity Score)'!$E$4:$E$7,MATCH(D36,'Bid Tiers (Popularity Score)'!$B$4:$B$7,1)))</f>
        <v>0.25</v>
      </c>
      <c r="G36" s="14"/>
    </row>
    <row r="37" customFormat="false" ht="15" hidden="false" customHeight="false" outlineLevel="0" collapsed="false">
      <c r="A37" s="25" t="s">
        <v>35</v>
      </c>
      <c r="B37" s="26" t="s">
        <v>120</v>
      </c>
      <c r="C37" s="26" t="s">
        <v>94</v>
      </c>
      <c r="D37" s="15"/>
      <c r="E37" s="26" t="str">
        <f aca="false">IF(D37="","No Data",INDEX('Bid Tiers (Popularity Score)'!$A$4:$A$7,MATCH(D37,'Bid Tiers (Popularity Score)'!$B$4:$B$7,1)))</f>
        <v>No Data</v>
      </c>
      <c r="F37" s="27" t="n">
        <f aca="false">IF(D37="",0.25,INDEX('Bid Tiers (Popularity Score)'!$E$4:$E$7,MATCH(D37,'Bid Tiers (Popularity Score)'!$B$4:$B$7,1)))</f>
        <v>0.25</v>
      </c>
      <c r="G37" s="14"/>
    </row>
    <row r="38" customFormat="false" ht="15" hidden="false" customHeight="false" outlineLevel="0" collapsed="false">
      <c r="A38" s="25" t="s">
        <v>38</v>
      </c>
      <c r="B38" s="26" t="s">
        <v>133</v>
      </c>
      <c r="C38" s="26" t="s">
        <v>94</v>
      </c>
      <c r="D38" s="15"/>
      <c r="E38" s="26" t="str">
        <f aca="false">IF(D38="","No Data",INDEX('Bid Tiers (Popularity Score)'!$A$4:$A$7,MATCH(D38,'Bid Tiers (Popularity Score)'!$B$4:$B$7,1)))</f>
        <v>No Data</v>
      </c>
      <c r="F38" s="27" t="n">
        <f aca="false">IF(D38="",0.25,INDEX('Bid Tiers (Popularity Score)'!$E$4:$E$7,MATCH(D38,'Bid Tiers (Popularity Score)'!$B$4:$B$7,1)))</f>
        <v>0.25</v>
      </c>
      <c r="G38" s="14"/>
    </row>
    <row r="39" customFormat="false" ht="15" hidden="false" customHeight="false" outlineLevel="0" collapsed="false">
      <c r="A39" s="25" t="s">
        <v>38</v>
      </c>
      <c r="B39" s="26" t="s">
        <v>132</v>
      </c>
      <c r="C39" s="26" t="s">
        <v>94</v>
      </c>
      <c r="D39" s="15"/>
      <c r="E39" s="26" t="str">
        <f aca="false">IF(D39="","No Data",INDEX('Bid Tiers (Popularity Score)'!$A$4:$A$7,MATCH(D39,'Bid Tiers (Popularity Score)'!$B$4:$B$7,1)))</f>
        <v>No Data</v>
      </c>
      <c r="F39" s="27" t="n">
        <f aca="false">IF(D39="",0.25,INDEX('Bid Tiers (Popularity Score)'!$E$4:$E$7,MATCH(D39,'Bid Tiers (Popularity Score)'!$B$4:$B$7,1)))</f>
        <v>0.25</v>
      </c>
      <c r="G39" s="14"/>
    </row>
    <row r="40" customFormat="false" ht="15" hidden="false" customHeight="false" outlineLevel="0" collapsed="false">
      <c r="A40" s="25" t="s">
        <v>38</v>
      </c>
      <c r="B40" s="26" t="s">
        <v>131</v>
      </c>
      <c r="C40" s="26" t="s">
        <v>94</v>
      </c>
      <c r="D40" s="15"/>
      <c r="E40" s="26" t="str">
        <f aca="false">IF(D40="","No Data",INDEX('Bid Tiers (Popularity Score)'!$A$4:$A$7,MATCH(D40,'Bid Tiers (Popularity Score)'!$B$4:$B$7,1)))</f>
        <v>No Data</v>
      </c>
      <c r="F40" s="27" t="n">
        <f aca="false">IF(D40="",0.25,INDEX('Bid Tiers (Popularity Score)'!$E$4:$E$7,MATCH(D40,'Bid Tiers (Popularity Score)'!$B$4:$B$7,1)))</f>
        <v>0.25</v>
      </c>
      <c r="G40" s="14"/>
    </row>
    <row r="41" customFormat="false" ht="15" hidden="false" customHeight="false" outlineLevel="0" collapsed="false">
      <c r="A41" s="25" t="s">
        <v>41</v>
      </c>
      <c r="B41" s="26" t="s">
        <v>137</v>
      </c>
      <c r="C41" s="26" t="s">
        <v>94</v>
      </c>
      <c r="D41" s="15"/>
      <c r="E41" s="26" t="str">
        <f aca="false">IF(D41="","No Data",INDEX('Bid Tiers (Popularity Score)'!$A$4:$A$7,MATCH(D41,'Bid Tiers (Popularity Score)'!$B$4:$B$7,1)))</f>
        <v>No Data</v>
      </c>
      <c r="F41" s="27" t="n">
        <f aca="false">IF(D41="",0.25,INDEX('Bid Tiers (Popularity Score)'!$E$4:$E$7,MATCH(D41,'Bid Tiers (Popularity Score)'!$B$4:$B$7,1)))</f>
        <v>0.25</v>
      </c>
      <c r="G41" s="14"/>
    </row>
    <row r="42" customFormat="false" ht="15" hidden="false" customHeight="false" outlineLevel="0" collapsed="false">
      <c r="A42" s="25" t="s">
        <v>41</v>
      </c>
      <c r="B42" s="26" t="s">
        <v>138</v>
      </c>
      <c r="C42" s="26" t="s">
        <v>94</v>
      </c>
      <c r="D42" s="15"/>
      <c r="E42" s="26" t="str">
        <f aca="false">IF(D42="","No Data",INDEX('Bid Tiers (Popularity Score)'!$A$4:$A$7,MATCH(D42,'Bid Tiers (Popularity Score)'!$B$4:$B$7,1)))</f>
        <v>No Data</v>
      </c>
      <c r="F42" s="27" t="n">
        <f aca="false">IF(D42="",0.25,INDEX('Bid Tiers (Popularity Score)'!$E$4:$E$7,MATCH(D42,'Bid Tiers (Popularity Score)'!$B$4:$B$7,1)))</f>
        <v>0.25</v>
      </c>
      <c r="G42" s="14"/>
    </row>
    <row r="43" customFormat="false" ht="15" hidden="false" customHeight="false" outlineLevel="0" collapsed="false">
      <c r="A43" s="25" t="s">
        <v>41</v>
      </c>
      <c r="B43" s="26" t="s">
        <v>175</v>
      </c>
      <c r="C43" s="26" t="s">
        <v>94</v>
      </c>
      <c r="D43" s="15"/>
      <c r="E43" s="26" t="str">
        <f aca="false">IF(D43="","No Data",INDEX('Bid Tiers (Popularity Score)'!$A$4:$A$7,MATCH(D43,'Bid Tiers (Popularity Score)'!$B$4:$B$7,1)))</f>
        <v>No Data</v>
      </c>
      <c r="F43" s="27" t="n">
        <f aca="false">IF(D43="",0.25,INDEX('Bid Tiers (Popularity Score)'!$E$4:$E$7,MATCH(D43,'Bid Tiers (Popularity Score)'!$B$4:$B$7,1)))</f>
        <v>0.25</v>
      </c>
      <c r="G43" s="14"/>
    </row>
    <row r="44" customFormat="false" ht="15" hidden="false" customHeight="false" outlineLevel="0" collapsed="false">
      <c r="A44" s="25" t="s">
        <v>41</v>
      </c>
      <c r="B44" s="26" t="s">
        <v>267</v>
      </c>
      <c r="C44" s="26" t="s">
        <v>94</v>
      </c>
      <c r="D44" s="15"/>
      <c r="E44" s="26" t="str">
        <f aca="false">IF(D44="","No Data",INDEX('Bid Tiers (Popularity Score)'!$A$4:$A$7,MATCH(D44,'Bid Tiers (Popularity Score)'!$B$4:$B$7,1)))</f>
        <v>No Data</v>
      </c>
      <c r="F44" s="27" t="n">
        <f aca="false">IF(D44="",0.25,INDEX('Bid Tiers (Popularity Score)'!$E$4:$E$7,MATCH(D44,'Bid Tiers (Popularity Score)'!$B$4:$B$7,1)))</f>
        <v>0.25</v>
      </c>
      <c r="G44" s="14"/>
    </row>
    <row r="45" customFormat="false" ht="15" hidden="false" customHeight="false" outlineLevel="0" collapsed="false">
      <c r="A45" s="25" t="s">
        <v>41</v>
      </c>
      <c r="B45" s="26" t="s">
        <v>178</v>
      </c>
      <c r="C45" s="26" t="s">
        <v>94</v>
      </c>
      <c r="D45" s="15"/>
      <c r="E45" s="26" t="str">
        <f aca="false">IF(D45="","No Data",INDEX('Bid Tiers (Popularity Score)'!$A$4:$A$7,MATCH(D45,'Bid Tiers (Popularity Score)'!$B$4:$B$7,1)))</f>
        <v>No Data</v>
      </c>
      <c r="F45" s="27" t="n">
        <f aca="false">IF(D45="",0.25,INDEX('Bid Tiers (Popularity Score)'!$E$4:$E$7,MATCH(D45,'Bid Tiers (Popularity Score)'!$B$4:$B$7,1)))</f>
        <v>0.25</v>
      </c>
      <c r="G45" s="14"/>
    </row>
    <row r="46" customFormat="false" ht="15" hidden="false" customHeight="false" outlineLevel="0" collapsed="false">
      <c r="A46" s="25" t="s">
        <v>41</v>
      </c>
      <c r="B46" s="26" t="s">
        <v>268</v>
      </c>
      <c r="C46" s="26" t="s">
        <v>94</v>
      </c>
      <c r="D46" s="15" t="n">
        <v>0</v>
      </c>
      <c r="E46" s="26" t="str">
        <f aca="false">IF(D46="","No Data",INDEX('Bid Tiers (Popularity Score)'!$A$4:$A$7,MATCH(D46,'Bid Tiers (Popularity Score)'!$B$4:$B$7,1)))</f>
        <v>Tier D — Below Threshold (&lt;5)</v>
      </c>
      <c r="F46" s="27" t="n">
        <f aca="false">IF(D46="",0.25,INDEX('Bid Tiers (Popularity Score)'!$E$4:$E$7,MATCH(D46,'Bid Tiers (Popularity Score)'!$B$4:$B$7,1)))</f>
        <v>0.5</v>
      </c>
      <c r="G46" s="14"/>
    </row>
    <row r="47" customFormat="false" ht="15" hidden="false" customHeight="false" outlineLevel="0" collapsed="false">
      <c r="A47" s="25" t="s">
        <v>41</v>
      </c>
      <c r="B47" s="26" t="s">
        <v>269</v>
      </c>
      <c r="C47" s="26" t="s">
        <v>94</v>
      </c>
      <c r="D47" s="15"/>
      <c r="E47" s="26" t="str">
        <f aca="false">IF(D47="","No Data",INDEX('Bid Tiers (Popularity Score)'!$A$4:$A$7,MATCH(D47,'Bid Tiers (Popularity Score)'!$B$4:$B$7,1)))</f>
        <v>No Data</v>
      </c>
      <c r="F47" s="27" t="n">
        <f aca="false">IF(D47="",0.25,INDEX('Bid Tiers (Popularity Score)'!$E$4:$E$7,MATCH(D47,'Bid Tiers (Popularity Score)'!$B$4:$B$7,1)))</f>
        <v>0.25</v>
      </c>
      <c r="G47" s="14"/>
    </row>
    <row r="48" customFormat="false" ht="15" hidden="false" customHeight="false" outlineLevel="0" collapsed="false">
      <c r="A48" s="25" t="s">
        <v>41</v>
      </c>
      <c r="B48" s="26" t="s">
        <v>270</v>
      </c>
      <c r="C48" s="26" t="s">
        <v>94</v>
      </c>
      <c r="D48" s="15" t="n">
        <v>0</v>
      </c>
      <c r="E48" s="26" t="str">
        <f aca="false">IF(D48="","No Data",INDEX('Bid Tiers (Popularity Score)'!$A$4:$A$7,MATCH(D48,'Bid Tiers (Popularity Score)'!$B$4:$B$7,1)))</f>
        <v>Tier D — Below Threshold (&lt;5)</v>
      </c>
      <c r="F48" s="27" t="n">
        <f aca="false">IF(D48="",0.25,INDEX('Bid Tiers (Popularity Score)'!$E$4:$E$7,MATCH(D48,'Bid Tiers (Popularity Score)'!$B$4:$B$7,1)))</f>
        <v>0.5</v>
      </c>
      <c r="G48" s="14"/>
    </row>
    <row r="49" customFormat="false" ht="15" hidden="false" customHeight="false" outlineLevel="0" collapsed="false">
      <c r="A49" s="25" t="s">
        <v>44</v>
      </c>
      <c r="B49" s="26" t="s">
        <v>182</v>
      </c>
      <c r="C49" s="26" t="s">
        <v>94</v>
      </c>
      <c r="D49" s="15"/>
      <c r="E49" s="26" t="str">
        <f aca="false">IF(D49="","No Data",INDEX('Bid Tiers (Popularity Score)'!$A$4:$A$7,MATCH(D49,'Bid Tiers (Popularity Score)'!$B$4:$B$7,1)))</f>
        <v>No Data</v>
      </c>
      <c r="F49" s="27" t="n">
        <f aca="false">IF(D49="",0.25,INDEX('Bid Tiers (Popularity Score)'!$E$4:$E$7,MATCH(D49,'Bid Tiers (Popularity Score)'!$B$4:$B$7,1)))</f>
        <v>0.25</v>
      </c>
      <c r="G49" s="14"/>
    </row>
    <row r="50" customFormat="false" ht="15" hidden="false" customHeight="false" outlineLevel="0" collapsed="false">
      <c r="A50" s="25" t="s">
        <v>44</v>
      </c>
      <c r="B50" s="26" t="s">
        <v>146</v>
      </c>
      <c r="C50" s="26" t="s">
        <v>94</v>
      </c>
      <c r="D50" s="15" t="n">
        <v>0</v>
      </c>
      <c r="E50" s="26" t="str">
        <f aca="false">IF(D50="","No Data",INDEX('Bid Tiers (Popularity Score)'!$A$4:$A$7,MATCH(D50,'Bid Tiers (Popularity Score)'!$B$4:$B$7,1)))</f>
        <v>Tier D — Below Threshold (&lt;5)</v>
      </c>
      <c r="F50" s="27" t="n">
        <f aca="false">IF(D50="",0.25,INDEX('Bid Tiers (Popularity Score)'!$E$4:$E$7,MATCH(D50,'Bid Tiers (Popularity Score)'!$B$4:$B$7,1)))</f>
        <v>0.5</v>
      </c>
      <c r="G50" s="14"/>
    </row>
    <row r="51" customFormat="false" ht="15" hidden="false" customHeight="false" outlineLevel="0" collapsed="false">
      <c r="A51" s="25" t="s">
        <v>44</v>
      </c>
      <c r="B51" s="26" t="s">
        <v>151</v>
      </c>
      <c r="C51" s="26" t="s">
        <v>94</v>
      </c>
      <c r="D51" s="15" t="n">
        <v>0</v>
      </c>
      <c r="E51" s="26" t="str">
        <f aca="false">IF(D51="","No Data",INDEX('Bid Tiers (Popularity Score)'!$A$4:$A$7,MATCH(D51,'Bid Tiers (Popularity Score)'!$B$4:$B$7,1)))</f>
        <v>Tier D — Below Threshold (&lt;5)</v>
      </c>
      <c r="F51" s="27" t="n">
        <f aca="false">IF(D51="",0.25,INDEX('Bid Tiers (Popularity Score)'!$E$4:$E$7,MATCH(D51,'Bid Tiers (Popularity Score)'!$B$4:$B$7,1)))</f>
        <v>0.5</v>
      </c>
      <c r="G51" s="14"/>
    </row>
    <row r="52" customFormat="false" ht="15" hidden="false" customHeight="false" outlineLevel="0" collapsed="false">
      <c r="A52" s="25" t="s">
        <v>47</v>
      </c>
      <c r="B52" s="26" t="s">
        <v>152</v>
      </c>
      <c r="C52" s="26" t="s">
        <v>94</v>
      </c>
      <c r="D52" s="15"/>
      <c r="E52" s="26" t="str">
        <f aca="false">IF(D52="","No Data",INDEX('Bid Tiers (Popularity Score)'!$A$4:$A$7,MATCH(D52,'Bid Tiers (Popularity Score)'!$B$4:$B$7,1)))</f>
        <v>No Data</v>
      </c>
      <c r="F52" s="27" t="n">
        <f aca="false">IF(D52="",0.25,INDEX('Bid Tiers (Popularity Score)'!$E$4:$E$7,MATCH(D52,'Bid Tiers (Popularity Score)'!$B$4:$B$7,1)))</f>
        <v>0.25</v>
      </c>
      <c r="G52" s="14"/>
    </row>
    <row r="53" customFormat="false" ht="15" hidden="false" customHeight="false" outlineLevel="0" collapsed="false">
      <c r="A53" s="25" t="s">
        <v>47</v>
      </c>
      <c r="B53" s="26" t="s">
        <v>183</v>
      </c>
      <c r="C53" s="26" t="s">
        <v>94</v>
      </c>
      <c r="D53" s="15"/>
      <c r="E53" s="26" t="str">
        <f aca="false">IF(D53="","No Data",INDEX('Bid Tiers (Popularity Score)'!$A$4:$A$7,MATCH(D53,'Bid Tiers (Popularity Score)'!$B$4:$B$7,1)))</f>
        <v>No Data</v>
      </c>
      <c r="F53" s="27" t="n">
        <f aca="false">IF(D53="",0.25,INDEX('Bid Tiers (Popularity Score)'!$E$4:$E$7,MATCH(D53,'Bid Tiers (Popularity Score)'!$B$4:$B$7,1)))</f>
        <v>0.25</v>
      </c>
      <c r="G53" s="14"/>
    </row>
  </sheetData>
  <autoFilter ref="A3:G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271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5170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668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20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6600</v>
      </c>
      <c r="E8" s="26" t="str">
        <f aca="false">IF(D8="","No Data",IF(D8&gt;=$K$2,"Tier A (Top 15%)",IF(D8&gt;=$K$3,"Tier B (Top 40%)",IF(D8&gt;=$K$4,"Tier C (Top 70%)","Tier D (Bottom 30%)"))))</f>
        <v>Tier A (Top 15%)</v>
      </c>
      <c r="F8" s="27" t="n">
        <f aca="false">VLOOKUP(E8,'Bid Tiers (Relative Volume)'!$A$5:$C$9,3,FALSE())</f>
        <v>1.9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6600</v>
      </c>
      <c r="E9" s="26" t="str">
        <f aca="false">IF(D9="","No Data",IF(D9&gt;=$K$2,"Tier A (Top 15%)",IF(D9&gt;=$K$3,"Tier B (Top 40%)",IF(D9&gt;=$K$4,"Tier C (Top 70%)","Tier D (Bottom 30%)"))))</f>
        <v>Tier A (Top 15%)</v>
      </c>
      <c r="F9" s="27" t="n">
        <f aca="false">VLOOKUP(E9,'Bid Tiers (Relative Volume)'!$A$5:$C$9,3,FALSE())</f>
        <v>1.9</v>
      </c>
      <c r="G9" s="14"/>
    </row>
    <row r="10" customFormat="false" ht="15" hidden="false" customHeight="false" outlineLevel="0" collapsed="false">
      <c r="A10" s="25" t="s">
        <v>32</v>
      </c>
      <c r="B10" s="26" t="s">
        <v>272</v>
      </c>
      <c r="C10" s="26" t="s">
        <v>94</v>
      </c>
      <c r="D10" s="15" t="n">
        <v>8100</v>
      </c>
      <c r="E10" s="26" t="str">
        <f aca="false">IF(D10="","No Data",IF(D10&gt;=$K$2,"Tier A (Top 15%)",IF(D10&gt;=$K$3,"Tier B (Top 40%)",IF(D10&gt;=$K$4,"Tier C (Top 70%)","Tier D (Bottom 30%)"))))</f>
        <v>Tier A (Top 15%)</v>
      </c>
      <c r="F10" s="27" t="n">
        <f aca="false">VLOOKUP(E10,'Bid Tiers (Relative Volume)'!$A$5:$C$9,3,FALSE())</f>
        <v>1.9</v>
      </c>
      <c r="G10" s="14"/>
    </row>
    <row r="11" customFormat="false" ht="15" hidden="false" customHeight="false" outlineLevel="0" collapsed="false">
      <c r="A11" s="25" t="s">
        <v>32</v>
      </c>
      <c r="B11" s="26" t="s">
        <v>273</v>
      </c>
      <c r="C11" s="26" t="s">
        <v>94</v>
      </c>
      <c r="D11" s="15" t="n">
        <v>4400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274</v>
      </c>
      <c r="C12" s="26" t="s">
        <v>94</v>
      </c>
      <c r="D12" s="15" t="n">
        <v>1600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252</v>
      </c>
      <c r="C13" s="26" t="s">
        <v>94</v>
      </c>
      <c r="D13" s="15" t="n">
        <v>1000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275</v>
      </c>
      <c r="C14" s="26" t="s">
        <v>94</v>
      </c>
      <c r="D14" s="15" t="n">
        <v>720</v>
      </c>
      <c r="E14" s="26" t="str">
        <f aca="false">IF(D14="","No Data",IF(D14&gt;=$K$2,"Tier A (Top 15%)",IF(D14&gt;=$K$3,"Tier B (Top 40%)",IF(D14&gt;=$K$4,"Tier C (Top 70%)","Tier D (Bottom 30%)"))))</f>
        <v>Tier B (Top 40%)</v>
      </c>
      <c r="F14" s="27" t="n">
        <f aca="false">VLOOKUP(E14,'Bid Tiers (Relative Volume)'!$A$5:$C$9,3,FALSE())</f>
        <v>1</v>
      </c>
      <c r="G14" s="14"/>
    </row>
    <row r="15" customFormat="false" ht="15" hidden="false" customHeight="false" outlineLevel="0" collapsed="false">
      <c r="A15" s="25" t="s">
        <v>32</v>
      </c>
      <c r="B15" s="26" t="s">
        <v>276</v>
      </c>
      <c r="C15" s="26" t="s">
        <v>94</v>
      </c>
      <c r="D15" s="15" t="n">
        <v>590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277</v>
      </c>
      <c r="C16" s="26" t="s">
        <v>94</v>
      </c>
      <c r="D16" s="15" t="n">
        <v>210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278</v>
      </c>
      <c r="C17" s="26" t="s">
        <v>94</v>
      </c>
      <c r="D17" s="15" t="n">
        <v>0</v>
      </c>
      <c r="E17" s="26" t="str">
        <f aca="false">IF(D17="","No Data",IF(D17&gt;=$K$2,"Tier A (Top 15%)",IF(D17&gt;=$K$3,"Tier B (Top 40%)",IF(D17&gt;=$K$4,"Tier C (Top 70%)","Tier D (Bottom 30%)"))))</f>
        <v>Tier D (Bottom 30%)</v>
      </c>
      <c r="F17" s="27" t="n">
        <f aca="false">VLOOKUP(E17,'Bid Tiers (Relative Volume)'!$A$5:$C$9,3,FALSE())</f>
        <v>0.4</v>
      </c>
      <c r="G17" s="14"/>
    </row>
    <row r="18" customFormat="false" ht="15" hidden="false" customHeight="false" outlineLevel="0" collapsed="false">
      <c r="A18" s="25" t="s">
        <v>32</v>
      </c>
      <c r="B18" s="26" t="s">
        <v>279</v>
      </c>
      <c r="C18" s="26" t="s">
        <v>94</v>
      </c>
      <c r="D18" s="15" t="n">
        <v>0</v>
      </c>
      <c r="E18" s="26" t="str">
        <f aca="false">IF(D18="","No Data",IF(D18&gt;=$K$2,"Tier A (Top 15%)",IF(D18&gt;=$K$3,"Tier B (Top 40%)",IF(D18&gt;=$K$4,"Tier C (Top 70%)","Tier D (Bottom 30%)"))))</f>
        <v>Tier D (Bottom 30%)</v>
      </c>
      <c r="F18" s="27" t="n">
        <f aca="false">VLOOKUP(E18,'Bid Tiers (Relative Volume)'!$A$5:$C$9,3,FALSE())</f>
        <v>0.4</v>
      </c>
      <c r="G18" s="14"/>
    </row>
    <row r="19" customFormat="false" ht="15" hidden="false" customHeight="false" outlineLevel="0" collapsed="false">
      <c r="A19" s="25" t="s">
        <v>35</v>
      </c>
      <c r="B19" s="26" t="s">
        <v>118</v>
      </c>
      <c r="C19" s="26" t="s">
        <v>94</v>
      </c>
      <c r="D19" s="15" t="n">
        <v>9900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280</v>
      </c>
      <c r="C20" s="26" t="s">
        <v>94</v>
      </c>
      <c r="D20" s="15" t="n">
        <v>6600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281</v>
      </c>
      <c r="C21" s="26" t="s">
        <v>94</v>
      </c>
      <c r="D21" s="15" t="n">
        <v>4400</v>
      </c>
      <c r="E21" s="26" t="str">
        <f aca="false">IF(D21="","No Data",IF(D21&gt;=$K$2,"Tier A (Top 15%)",IF(D21&gt;=$K$3,"Tier B (Top 40%)",IF(D21&gt;=$K$4,"Tier C (Top 70%)","Tier D (Bottom 30%)"))))</f>
        <v>Tier B (Top 40%)</v>
      </c>
      <c r="F21" s="27" t="n">
        <f aca="false">VLOOKUP(E21,'Bid Tiers (Relative Volume)'!$A$5:$C$9,3,FALSE())</f>
        <v>1</v>
      </c>
      <c r="G21" s="14"/>
    </row>
    <row r="22" customFormat="false" ht="15" hidden="false" customHeight="false" outlineLevel="0" collapsed="false">
      <c r="A22" s="25" t="s">
        <v>35</v>
      </c>
      <c r="B22" s="26" t="s">
        <v>282</v>
      </c>
      <c r="C22" s="26" t="s">
        <v>94</v>
      </c>
      <c r="D22" s="15" t="n">
        <v>260</v>
      </c>
      <c r="E22" s="26" t="str">
        <f aca="false">IF(D22="","No Data",IF(D22&gt;=$K$2,"Tier A (Top 15%)",IF(D22&gt;=$K$3,"Tier B (Top 40%)",IF(D22&gt;=$K$4,"Tier C (Top 70%)","Tier D (Bottom 30%)"))))</f>
        <v>Tier C (Top 70%)</v>
      </c>
      <c r="F22" s="27" t="n">
        <f aca="false">VLOOKUP(E22,'Bid Tiers (Relative Volume)'!$A$5:$C$9,3,FALSE())</f>
        <v>0.65</v>
      </c>
      <c r="G22" s="14"/>
    </row>
    <row r="23" customFormat="false" ht="15" hidden="false" customHeight="false" outlineLevel="0" collapsed="false">
      <c r="A23" s="25" t="s">
        <v>35</v>
      </c>
      <c r="B23" s="26" t="s">
        <v>283</v>
      </c>
      <c r="C23" s="26" t="s">
        <v>94</v>
      </c>
      <c r="D23" s="15" t="n">
        <v>210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284</v>
      </c>
      <c r="C24" s="26" t="s">
        <v>94</v>
      </c>
      <c r="D24" s="15" t="n">
        <v>20</v>
      </c>
      <c r="E24" s="26" t="str">
        <f aca="false">IF(D24="","No Data",IF(D24&gt;=$K$2,"Tier A (Top 15%)",IF(D24&gt;=$K$3,"Tier B (Top 40%)",IF(D24&gt;=$K$4,"Tier C (Top 70%)","Tier D (Bottom 30%)"))))</f>
        <v>Tier C (Top 70%)</v>
      </c>
      <c r="F24" s="27" t="n">
        <f aca="false">VLOOKUP(E24,'Bid Tiers (Relative Volume)'!$A$5:$C$9,3,FALSE())</f>
        <v>0.65</v>
      </c>
      <c r="G24" s="14"/>
    </row>
    <row r="25" customFormat="false" ht="15" hidden="false" customHeight="false" outlineLevel="0" collapsed="false">
      <c r="A25" s="25" t="s">
        <v>35</v>
      </c>
      <c r="B25" s="26" t="s">
        <v>285</v>
      </c>
      <c r="C25" s="26" t="s">
        <v>94</v>
      </c>
      <c r="D25" s="15" t="n">
        <v>20</v>
      </c>
      <c r="E25" s="26" t="str">
        <f aca="false">IF(D25="","No Data",IF(D25&gt;=$K$2,"Tier A (Top 15%)",IF(D25&gt;=$K$3,"Tier B (Top 40%)",IF(D25&gt;=$K$4,"Tier C (Top 70%)","Tier D (Bottom 30%)"))))</f>
        <v>Tier C (Top 70%)</v>
      </c>
      <c r="F25" s="27" t="n">
        <f aca="false">VLOOKUP(E25,'Bid Tiers (Relative Volume)'!$A$5:$C$9,3,FALSE())</f>
        <v>0.65</v>
      </c>
      <c r="G25" s="14"/>
    </row>
    <row r="26" customFormat="false" ht="15" hidden="false" customHeight="false" outlineLevel="0" collapsed="false">
      <c r="A26" s="25" t="s">
        <v>35</v>
      </c>
      <c r="B26" s="26" t="s">
        <v>286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D (Bottom 30%)</v>
      </c>
      <c r="F26" s="27" t="n">
        <f aca="false">VLOOKUP(E26,'Bid Tiers (Relative Volume)'!$A$5:$C$9,3,FALSE())</f>
        <v>0.4</v>
      </c>
      <c r="G26" s="14"/>
    </row>
    <row r="27" customFormat="false" ht="15" hidden="false" customHeight="false" outlineLevel="0" collapsed="false">
      <c r="A27" s="25" t="s">
        <v>35</v>
      </c>
      <c r="B27" s="26" t="s">
        <v>287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D (Bottom 30%)</v>
      </c>
      <c r="F27" s="27" t="n">
        <f aca="false">VLOOKUP(E27,'Bid Tiers (Relative Volume)'!$A$5:$C$9,3,FALSE())</f>
        <v>0.4</v>
      </c>
      <c r="G27" s="14"/>
    </row>
    <row r="28" customFormat="false" ht="15" hidden="false" customHeight="false" outlineLevel="0" collapsed="false">
      <c r="A28" s="25" t="s">
        <v>38</v>
      </c>
      <c r="B28" s="26" t="s">
        <v>288</v>
      </c>
      <c r="C28" s="26" t="s">
        <v>94</v>
      </c>
      <c r="D28" s="15" t="n">
        <v>480</v>
      </c>
      <c r="E28" s="26" t="str">
        <f aca="false">IF(D28="","No Data",IF(D28&gt;=$K$2,"Tier A (Top 15%)",IF(D28&gt;=$K$3,"Tier B (Top 40%)",IF(D28&gt;=$K$4,"Tier C (Top 70%)","Tier D (Bottom 30%)"))))</f>
        <v>Tier C (Top 70%)</v>
      </c>
      <c r="F28" s="27" t="n">
        <f aca="false">VLOOKUP(E28,'Bid Tiers (Relative Volume)'!$A$5:$C$9,3,FALSE())</f>
        <v>0.65</v>
      </c>
      <c r="G28" s="14"/>
    </row>
    <row r="29" customFormat="false" ht="15" hidden="false" customHeight="false" outlineLevel="0" collapsed="false">
      <c r="A29" s="25" t="s">
        <v>38</v>
      </c>
      <c r="B29" s="26" t="s">
        <v>289</v>
      </c>
      <c r="C29" s="26" t="s">
        <v>94</v>
      </c>
      <c r="D29" s="15" t="n">
        <v>0</v>
      </c>
      <c r="E29" s="26" t="str">
        <f aca="false">IF(D29="","No Data",IF(D29&gt;=$K$2,"Tier A (Top 15%)",IF(D29&gt;=$K$3,"Tier B (Top 40%)",IF(D29&gt;=$K$4,"Tier C (Top 70%)","Tier D (Bottom 30%)"))))</f>
        <v>Tier D (Bottom 30%)</v>
      </c>
      <c r="F29" s="27" t="n">
        <f aca="false">VLOOKUP(E29,'Bid Tiers (Relative Volume)'!$A$5:$C$9,3,FALSE())</f>
        <v>0.4</v>
      </c>
      <c r="G29" s="14"/>
    </row>
    <row r="30" customFormat="false" ht="15" hidden="false" customHeight="false" outlineLevel="0" collapsed="false">
      <c r="A30" s="25" t="s">
        <v>41</v>
      </c>
      <c r="B30" s="26" t="s">
        <v>178</v>
      </c>
      <c r="C30" s="26" t="s">
        <v>94</v>
      </c>
      <c r="D30" s="15" t="n">
        <v>3600</v>
      </c>
      <c r="E30" s="26" t="str">
        <f aca="false">IF(D30="","No Data",IF(D30&gt;=$K$2,"Tier A (Top 15%)",IF(D30&gt;=$K$3,"Tier B (Top 40%)",IF(D30&gt;=$K$4,"Tier C (Top 70%)","Tier D (Bottom 30%)"))))</f>
        <v>Tier B (Top 40%)</v>
      </c>
      <c r="F30" s="27" t="n">
        <f aca="false">VLOOKUP(E30,'Bid Tiers (Relative Volume)'!$A$5:$C$9,3,FALSE())</f>
        <v>1</v>
      </c>
      <c r="G30" s="14"/>
    </row>
    <row r="31" customFormat="false" ht="15" hidden="false" customHeight="false" outlineLevel="0" collapsed="false">
      <c r="A31" s="25" t="s">
        <v>41</v>
      </c>
      <c r="B31" s="26" t="s">
        <v>290</v>
      </c>
      <c r="C31" s="26" t="s">
        <v>94</v>
      </c>
      <c r="D31" s="15" t="n">
        <v>1900</v>
      </c>
      <c r="E31" s="26" t="str">
        <f aca="false">IF(D31="","No Data",IF(D31&gt;=$K$2,"Tier A (Top 15%)",IF(D31&gt;=$K$3,"Tier B (Top 40%)",IF(D31&gt;=$K$4,"Tier C (Top 70%)","Tier D (Bottom 30%)"))))</f>
        <v>Tier B (Top 40%)</v>
      </c>
      <c r="F31" s="27" t="n">
        <f aca="false">VLOOKUP(E31,'Bid Tiers (Relative Volume)'!$A$5:$C$9,3,FALSE())</f>
        <v>1</v>
      </c>
      <c r="G31" s="14"/>
    </row>
    <row r="32" customFormat="false" ht="15" hidden="false" customHeight="false" outlineLevel="0" collapsed="false">
      <c r="A32" s="25" t="s">
        <v>41</v>
      </c>
      <c r="B32" s="26" t="s">
        <v>291</v>
      </c>
      <c r="C32" s="26" t="s">
        <v>94</v>
      </c>
      <c r="D32" s="15" t="n">
        <v>1000</v>
      </c>
      <c r="E32" s="26" t="str">
        <f aca="false">IF(D32="","No Data",IF(D32&gt;=$K$2,"Tier A (Top 15%)",IF(D32&gt;=$K$3,"Tier B (Top 40%)",IF(D32&gt;=$K$4,"Tier C (Top 70%)","Tier D (Bottom 30%)"))))</f>
        <v>Tier B (Top 40%)</v>
      </c>
      <c r="F32" s="27" t="n">
        <f aca="false">VLOOKUP(E32,'Bid Tiers (Relative Volume)'!$A$5:$C$9,3,FALSE())</f>
        <v>1</v>
      </c>
      <c r="G32" s="14"/>
    </row>
    <row r="33" customFormat="false" ht="15" hidden="false" customHeight="false" outlineLevel="0" collapsed="false">
      <c r="A33" s="25" t="s">
        <v>41</v>
      </c>
      <c r="B33" s="26" t="s">
        <v>292</v>
      </c>
      <c r="C33" s="26" t="s">
        <v>94</v>
      </c>
      <c r="D33" s="15" t="n">
        <v>320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293</v>
      </c>
      <c r="C34" s="26" t="s">
        <v>94</v>
      </c>
      <c r="D34" s="15" t="n">
        <v>170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294</v>
      </c>
      <c r="C35" s="26" t="s">
        <v>94</v>
      </c>
      <c r="D35" s="15" t="n">
        <v>140</v>
      </c>
      <c r="E35" s="26" t="str">
        <f aca="false">IF(D35="","No Data",IF(D35&gt;=$K$2,"Tier A (Top 15%)",IF(D35&gt;=$K$3,"Tier B (Top 40%)",IF(D35&gt;=$K$4,"Tier C (Top 70%)","Tier D (Bottom 30%)"))))</f>
        <v>Tier C (Top 70%)</v>
      </c>
      <c r="F35" s="27" t="n">
        <f aca="false">VLOOKUP(E35,'Bid Tiers (Relative Volume)'!$A$5:$C$9,3,FALSE())</f>
        <v>0.65</v>
      </c>
      <c r="G35" s="14"/>
    </row>
    <row r="36" customFormat="false" ht="15" hidden="false" customHeight="false" outlineLevel="0" collapsed="false">
      <c r="A36" s="25" t="s">
        <v>41</v>
      </c>
      <c r="B36" s="26" t="s">
        <v>295</v>
      </c>
      <c r="C36" s="26" t="s">
        <v>94</v>
      </c>
      <c r="D36" s="15" t="n">
        <v>0</v>
      </c>
      <c r="E36" s="26" t="str">
        <f aca="false">IF(D36="","No Data",IF(D36&gt;=$K$2,"Tier A (Top 15%)",IF(D36&gt;=$K$3,"Tier B (Top 40%)",IF(D36&gt;=$K$4,"Tier C (Top 70%)","Tier D (Bottom 30%)"))))</f>
        <v>Tier D (Bottom 30%)</v>
      </c>
      <c r="F36" s="27" t="n">
        <f aca="false">VLOOKUP(E36,'Bid Tiers (Relative Volume)'!$A$5:$C$9,3,FALSE())</f>
        <v>0.4</v>
      </c>
      <c r="G36" s="14"/>
    </row>
    <row r="37" customFormat="false" ht="15" hidden="false" customHeight="false" outlineLevel="0" collapsed="false">
      <c r="A37" s="25" t="s">
        <v>41</v>
      </c>
      <c r="B37" s="26" t="s">
        <v>296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D (Bottom 30%)</v>
      </c>
      <c r="F37" s="27" t="n">
        <f aca="false">VLOOKUP(E37,'Bid Tiers (Relative Volume)'!$A$5:$C$9,3,FALSE())</f>
        <v>0.4</v>
      </c>
      <c r="G37" s="14"/>
    </row>
    <row r="38" customFormat="false" ht="15" hidden="false" customHeight="false" outlineLevel="0" collapsed="false">
      <c r="A38" s="25" t="s">
        <v>41</v>
      </c>
      <c r="B38" s="26" t="s">
        <v>297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44</v>
      </c>
      <c r="B39" s="26" t="s">
        <v>298</v>
      </c>
      <c r="C39" s="26" t="s">
        <v>94</v>
      </c>
      <c r="D39" s="15" t="n">
        <v>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299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13045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4400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23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49500</v>
      </c>
      <c r="E8" s="26" t="str">
        <f aca="false">IF(D8="","No Data",IF(D8&gt;=$K$2,"Tier A (Top 15%)",IF(D8&gt;=$K$3,"Tier B (Top 40%)",IF(D8&gt;=$K$4,"Tier C (Top 70%)","Tier D (Bottom 30%)"))))</f>
        <v>Tier A (Top 15%)</v>
      </c>
      <c r="F8" s="27" t="n">
        <f aca="false">VLOOKUP(E8,'Bid Tiers (Relative Volume)'!$A$5:$C$9,3,FALSE())</f>
        <v>1.9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8100</v>
      </c>
      <c r="E9" s="26" t="str">
        <f aca="false">IF(D9="","No Data",IF(D9&gt;=$K$2,"Tier A (Top 15%)",IF(D9&gt;=$K$3,"Tier B (Top 40%)",IF(D9&gt;=$K$4,"Tier C (Top 70%)","Tier D (Bottom 30%)"))))</f>
        <v>Tier B (Top 40%)</v>
      </c>
      <c r="F9" s="27" t="n">
        <f aca="false">VLOOKUP(E9,'Bid Tiers (Relative Volume)'!$A$5:$C$9,3,FALSE())</f>
        <v>1</v>
      </c>
      <c r="G9" s="14"/>
    </row>
    <row r="10" customFormat="false" ht="15" hidden="false" customHeight="false" outlineLevel="0" collapsed="false">
      <c r="A10" s="25" t="s">
        <v>32</v>
      </c>
      <c r="B10" s="26" t="s">
        <v>191</v>
      </c>
      <c r="C10" s="26" t="s">
        <v>94</v>
      </c>
      <c r="D10" s="15" t="n">
        <v>18100</v>
      </c>
      <c r="E10" s="26" t="str">
        <f aca="false">IF(D10="","No Data",IF(D10&gt;=$K$2,"Tier A (Top 15%)",IF(D10&gt;=$K$3,"Tier B (Top 40%)",IF(D10&gt;=$K$4,"Tier C (Top 70%)","Tier D (Bottom 30%)"))))</f>
        <v>Tier A (Top 15%)</v>
      </c>
      <c r="F10" s="27" t="n">
        <f aca="false">VLOOKUP(E10,'Bid Tiers (Relative Volume)'!$A$5:$C$9,3,FALSE())</f>
        <v>1.9</v>
      </c>
      <c r="G10" s="14"/>
    </row>
    <row r="11" customFormat="false" ht="15" hidden="false" customHeight="false" outlineLevel="0" collapsed="false">
      <c r="A11" s="25" t="s">
        <v>32</v>
      </c>
      <c r="B11" s="26" t="s">
        <v>107</v>
      </c>
      <c r="C11" s="26" t="s">
        <v>94</v>
      </c>
      <c r="D11" s="15" t="n">
        <v>12100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159</v>
      </c>
      <c r="C12" s="26" t="s">
        <v>94</v>
      </c>
      <c r="D12" s="15" t="n">
        <v>6600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192</v>
      </c>
      <c r="C13" s="26" t="s">
        <v>94</v>
      </c>
      <c r="D13" s="15" t="n">
        <v>6600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300</v>
      </c>
      <c r="C14" s="26" t="s">
        <v>94</v>
      </c>
      <c r="D14" s="15" t="n">
        <v>5400</v>
      </c>
      <c r="E14" s="26" t="str">
        <f aca="false">IF(D14="","No Data",IF(D14&gt;=$K$2,"Tier A (Top 15%)",IF(D14&gt;=$K$3,"Tier B (Top 40%)",IF(D14&gt;=$K$4,"Tier C (Top 70%)","Tier D (Bottom 30%)"))))</f>
        <v>Tier B (Top 40%)</v>
      </c>
      <c r="F14" s="27" t="n">
        <f aca="false">VLOOKUP(E14,'Bid Tiers (Relative Volume)'!$A$5:$C$9,3,FALSE())</f>
        <v>1</v>
      </c>
      <c r="G14" s="14"/>
    </row>
    <row r="15" customFormat="false" ht="15" hidden="false" customHeight="false" outlineLevel="0" collapsed="false">
      <c r="A15" s="25" t="s">
        <v>32</v>
      </c>
      <c r="B15" s="26" t="s">
        <v>301</v>
      </c>
      <c r="C15" s="26" t="s">
        <v>94</v>
      </c>
      <c r="D15" s="15" t="n">
        <v>1000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302</v>
      </c>
      <c r="C16" s="26" t="s">
        <v>94</v>
      </c>
      <c r="D16" s="15" t="n">
        <v>480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303</v>
      </c>
      <c r="C17" s="26" t="s">
        <v>94</v>
      </c>
      <c r="D17" s="15" t="n">
        <v>20</v>
      </c>
      <c r="E17" s="26" t="str">
        <f aca="false">IF(D17="","No Data",IF(D17&gt;=$K$2,"Tier A (Top 15%)",IF(D17&gt;=$K$3,"Tier B (Top 40%)",IF(D17&gt;=$K$4,"Tier C (Top 70%)","Tier D (Bottom 30%)"))))</f>
        <v>Tier D (Bottom 30%)</v>
      </c>
      <c r="F17" s="27" t="n">
        <f aca="false">VLOOKUP(E17,'Bid Tiers (Relative Volume)'!$A$5:$C$9,3,FALSE())</f>
        <v>0.4</v>
      </c>
      <c r="G17" s="14"/>
    </row>
    <row r="18" customFormat="false" ht="15" hidden="false" customHeight="false" outlineLevel="0" collapsed="false">
      <c r="A18" s="25" t="s">
        <v>32</v>
      </c>
      <c r="B18" s="26" t="s">
        <v>304</v>
      </c>
      <c r="C18" s="26" t="s">
        <v>94</v>
      </c>
      <c r="D18" s="15" t="n">
        <v>0</v>
      </c>
      <c r="E18" s="26" t="str">
        <f aca="false">IF(D18="","No Data",IF(D18&gt;=$K$2,"Tier A (Top 15%)",IF(D18&gt;=$K$3,"Tier B (Top 40%)",IF(D18&gt;=$K$4,"Tier C (Top 70%)","Tier D (Bottom 30%)"))))</f>
        <v>Tier D (Bottom 30%)</v>
      </c>
      <c r="F18" s="27" t="n">
        <f aca="false">VLOOKUP(E18,'Bid Tiers (Relative Volume)'!$A$5:$C$9,3,FALSE())</f>
        <v>0.4</v>
      </c>
      <c r="G18" s="14"/>
    </row>
    <row r="19" customFormat="false" ht="15" hidden="false" customHeight="false" outlineLevel="0" collapsed="false">
      <c r="A19" s="25" t="s">
        <v>35</v>
      </c>
      <c r="B19" s="26" t="s">
        <v>118</v>
      </c>
      <c r="C19" s="26" t="s">
        <v>94</v>
      </c>
      <c r="D19" s="15" t="n">
        <v>60500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166</v>
      </c>
      <c r="C20" s="26" t="s">
        <v>94</v>
      </c>
      <c r="D20" s="15" t="n">
        <v>14800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305</v>
      </c>
      <c r="C21" s="26" t="s">
        <v>94</v>
      </c>
      <c r="D21" s="15" t="n">
        <v>12100</v>
      </c>
      <c r="E21" s="26" t="str">
        <f aca="false">IF(D21="","No Data",IF(D21&gt;=$K$2,"Tier A (Top 15%)",IF(D21&gt;=$K$3,"Tier B (Top 40%)",IF(D21&gt;=$K$4,"Tier C (Top 70%)","Tier D (Bottom 30%)"))))</f>
        <v>Tier B (Top 40%)</v>
      </c>
      <c r="F21" s="27" t="n">
        <f aca="false">VLOOKUP(E21,'Bid Tiers (Relative Volume)'!$A$5:$C$9,3,FALSE())</f>
        <v>1</v>
      </c>
      <c r="G21" s="14"/>
    </row>
    <row r="22" customFormat="false" ht="15" hidden="false" customHeight="false" outlineLevel="0" collapsed="false">
      <c r="A22" s="25" t="s">
        <v>35</v>
      </c>
      <c r="B22" s="26" t="s">
        <v>306</v>
      </c>
      <c r="C22" s="26" t="s">
        <v>94</v>
      </c>
      <c r="D22" s="15" t="n">
        <v>4400</v>
      </c>
      <c r="E22" s="26" t="str">
        <f aca="false">IF(D22="","No Data",IF(D22&gt;=$K$2,"Tier A (Top 15%)",IF(D22&gt;=$K$3,"Tier B (Top 40%)",IF(D22&gt;=$K$4,"Tier C (Top 70%)","Tier D (Bottom 30%)"))))</f>
        <v>Tier B (Top 40%)</v>
      </c>
      <c r="F22" s="27" t="n">
        <f aca="false">VLOOKUP(E22,'Bid Tiers (Relative Volume)'!$A$5:$C$9,3,FALSE())</f>
        <v>1</v>
      </c>
      <c r="G22" s="14"/>
    </row>
    <row r="23" customFormat="false" ht="15" hidden="false" customHeight="false" outlineLevel="0" collapsed="false">
      <c r="A23" s="25" t="s">
        <v>35</v>
      </c>
      <c r="B23" s="26" t="s">
        <v>307</v>
      </c>
      <c r="C23" s="26" t="s">
        <v>94</v>
      </c>
      <c r="D23" s="15" t="n">
        <v>170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308</v>
      </c>
      <c r="C24" s="26" t="s">
        <v>94</v>
      </c>
      <c r="D24" s="15" t="n">
        <v>70</v>
      </c>
      <c r="E24" s="26" t="str">
        <f aca="false">IF(D24="","No Data",IF(D24&gt;=$K$2,"Tier A (Top 15%)",IF(D24&gt;=$K$3,"Tier B (Top 40%)",IF(D24&gt;=$K$4,"Tier C (Top 70%)","Tier D (Bottom 30%)"))))</f>
        <v>Tier C (Top 70%)</v>
      </c>
      <c r="F24" s="27" t="n">
        <f aca="false">VLOOKUP(E24,'Bid Tiers (Relative Volume)'!$A$5:$C$9,3,FALSE())</f>
        <v>0.65</v>
      </c>
      <c r="G24" s="14"/>
    </row>
    <row r="25" customFormat="false" ht="15" hidden="false" customHeight="false" outlineLevel="0" collapsed="false">
      <c r="A25" s="25" t="s">
        <v>35</v>
      </c>
      <c r="B25" s="26" t="s">
        <v>309</v>
      </c>
      <c r="C25" s="26" t="s">
        <v>94</v>
      </c>
      <c r="D25" s="15" t="n">
        <v>20</v>
      </c>
      <c r="E25" s="26" t="str">
        <f aca="false">IF(D25="","No Data",IF(D25&gt;=$K$2,"Tier A (Top 15%)",IF(D25&gt;=$K$3,"Tier B (Top 40%)",IF(D25&gt;=$K$4,"Tier C (Top 70%)","Tier D (Bottom 30%)"))))</f>
        <v>Tier D (Bottom 30%)</v>
      </c>
      <c r="F25" s="27" t="n">
        <f aca="false">VLOOKUP(E25,'Bid Tiers (Relative Volume)'!$A$5:$C$9,3,FALSE())</f>
        <v>0.4</v>
      </c>
      <c r="G25" s="14"/>
    </row>
    <row r="26" customFormat="false" ht="15" hidden="false" customHeight="false" outlineLevel="0" collapsed="false">
      <c r="A26" s="25" t="s">
        <v>35</v>
      </c>
      <c r="B26" s="26" t="s">
        <v>310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D (Bottom 30%)</v>
      </c>
      <c r="F26" s="27" t="n">
        <f aca="false">VLOOKUP(E26,'Bid Tiers (Relative Volume)'!$A$5:$C$9,3,FALSE())</f>
        <v>0.4</v>
      </c>
      <c r="G26" s="14"/>
    </row>
    <row r="27" customFormat="false" ht="15" hidden="false" customHeight="false" outlineLevel="0" collapsed="false">
      <c r="A27" s="25" t="s">
        <v>35</v>
      </c>
      <c r="B27" s="26" t="s">
        <v>311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D (Bottom 30%)</v>
      </c>
      <c r="F27" s="27" t="n">
        <f aca="false">VLOOKUP(E27,'Bid Tiers (Relative Volume)'!$A$5:$C$9,3,FALSE())</f>
        <v>0.4</v>
      </c>
      <c r="G27" s="14"/>
    </row>
    <row r="28" customFormat="false" ht="15" hidden="false" customHeight="false" outlineLevel="0" collapsed="false">
      <c r="A28" s="25" t="s">
        <v>38</v>
      </c>
      <c r="B28" s="26" t="s">
        <v>312</v>
      </c>
      <c r="C28" s="26" t="s">
        <v>94</v>
      </c>
      <c r="D28" s="15" t="n">
        <v>1900</v>
      </c>
      <c r="E28" s="26" t="str">
        <f aca="false">IF(D28="","No Data",IF(D28&gt;=$K$2,"Tier A (Top 15%)",IF(D28&gt;=$K$3,"Tier B (Top 40%)",IF(D28&gt;=$K$4,"Tier C (Top 70%)","Tier D (Bottom 30%)"))))</f>
        <v>Tier C (Top 70%)</v>
      </c>
      <c r="F28" s="27" t="n">
        <f aca="false">VLOOKUP(E28,'Bid Tiers (Relative Volume)'!$A$5:$C$9,3,FALSE())</f>
        <v>0.65</v>
      </c>
      <c r="G28" s="14"/>
    </row>
    <row r="29" customFormat="false" ht="15" hidden="false" customHeight="false" outlineLevel="0" collapsed="false">
      <c r="A29" s="25" t="s">
        <v>38</v>
      </c>
      <c r="B29" s="26" t="s">
        <v>313</v>
      </c>
      <c r="C29" s="26" t="s">
        <v>94</v>
      </c>
      <c r="D29" s="15" t="n">
        <v>30</v>
      </c>
      <c r="E29" s="26" t="str">
        <f aca="false">IF(D29="","No Data",IF(D29&gt;=$K$2,"Tier A (Top 15%)",IF(D29&gt;=$K$3,"Tier B (Top 40%)",IF(D29&gt;=$K$4,"Tier C (Top 70%)","Tier D (Bottom 30%)"))))</f>
        <v>Tier C (Top 70%)</v>
      </c>
      <c r="F29" s="27" t="n">
        <f aca="false">VLOOKUP(E29,'Bid Tiers (Relative Volume)'!$A$5:$C$9,3,FALSE())</f>
        <v>0.65</v>
      </c>
      <c r="G29" s="14"/>
    </row>
    <row r="30" customFormat="false" ht="15" hidden="false" customHeight="false" outlineLevel="0" collapsed="false">
      <c r="A30" s="25" t="s">
        <v>41</v>
      </c>
      <c r="B30" s="26" t="s">
        <v>314</v>
      </c>
      <c r="C30" s="26" t="s">
        <v>94</v>
      </c>
      <c r="D30" s="15" t="n">
        <v>18100</v>
      </c>
      <c r="E30" s="26" t="str">
        <f aca="false">IF(D30="","No Data",IF(D30&gt;=$K$2,"Tier A (Top 15%)",IF(D30&gt;=$K$3,"Tier B (Top 40%)",IF(D30&gt;=$K$4,"Tier C (Top 70%)","Tier D (Bottom 30%)"))))</f>
        <v>Tier A (Top 15%)</v>
      </c>
      <c r="F30" s="27" t="n">
        <f aca="false">VLOOKUP(E30,'Bid Tiers (Relative Volume)'!$A$5:$C$9,3,FALSE())</f>
        <v>1.9</v>
      </c>
      <c r="G30" s="14"/>
    </row>
    <row r="31" customFormat="false" ht="15" hidden="false" customHeight="false" outlineLevel="0" collapsed="false">
      <c r="A31" s="25" t="s">
        <v>41</v>
      </c>
      <c r="B31" s="26" t="s">
        <v>315</v>
      </c>
      <c r="C31" s="26" t="s">
        <v>94</v>
      </c>
      <c r="D31" s="15" t="n">
        <v>9900</v>
      </c>
      <c r="E31" s="26" t="str">
        <f aca="false">IF(D31="","No Data",IF(D31&gt;=$K$2,"Tier A (Top 15%)",IF(D31&gt;=$K$3,"Tier B (Top 40%)",IF(D31&gt;=$K$4,"Tier C (Top 70%)","Tier D (Bottom 30%)"))))</f>
        <v>Tier B (Top 40%)</v>
      </c>
      <c r="F31" s="27" t="n">
        <f aca="false">VLOOKUP(E31,'Bid Tiers (Relative Volume)'!$A$5:$C$9,3,FALSE())</f>
        <v>1</v>
      </c>
      <c r="G31" s="14"/>
    </row>
    <row r="32" customFormat="false" ht="15" hidden="false" customHeight="false" outlineLevel="0" collapsed="false">
      <c r="A32" s="25" t="s">
        <v>41</v>
      </c>
      <c r="B32" s="26" t="s">
        <v>316</v>
      </c>
      <c r="C32" s="26" t="s">
        <v>94</v>
      </c>
      <c r="D32" s="15" t="n">
        <v>4400</v>
      </c>
      <c r="E32" s="26" t="str">
        <f aca="false">IF(D32="","No Data",IF(D32&gt;=$K$2,"Tier A (Top 15%)",IF(D32&gt;=$K$3,"Tier B (Top 40%)",IF(D32&gt;=$K$4,"Tier C (Top 70%)","Tier D (Bottom 30%)"))))</f>
        <v>Tier B (Top 40%)</v>
      </c>
      <c r="F32" s="27" t="n">
        <f aca="false">VLOOKUP(E32,'Bid Tiers (Relative Volume)'!$A$5:$C$9,3,FALSE())</f>
        <v>1</v>
      </c>
      <c r="G32" s="14"/>
    </row>
    <row r="33" customFormat="false" ht="15" hidden="false" customHeight="false" outlineLevel="0" collapsed="false">
      <c r="A33" s="25" t="s">
        <v>41</v>
      </c>
      <c r="B33" s="26" t="s">
        <v>317</v>
      </c>
      <c r="C33" s="26" t="s">
        <v>94</v>
      </c>
      <c r="D33" s="15" t="n">
        <v>1600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318</v>
      </c>
      <c r="C34" s="26" t="s">
        <v>94</v>
      </c>
      <c r="D34" s="15" t="n">
        <v>1000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319</v>
      </c>
      <c r="C35" s="26" t="s">
        <v>94</v>
      </c>
      <c r="D35" s="15" t="n">
        <v>20</v>
      </c>
      <c r="E35" s="26" t="str">
        <f aca="false">IF(D35="","No Data",IF(D35&gt;=$K$2,"Tier A (Top 15%)",IF(D35&gt;=$K$3,"Tier B (Top 40%)",IF(D35&gt;=$K$4,"Tier C (Top 70%)","Tier D (Bottom 30%)"))))</f>
        <v>Tier D (Bottom 30%)</v>
      </c>
      <c r="F35" s="27" t="n">
        <f aca="false">VLOOKUP(E35,'Bid Tiers (Relative Volume)'!$A$5:$C$9,3,FALSE())</f>
        <v>0.4</v>
      </c>
      <c r="G35" s="14"/>
    </row>
    <row r="36" customFormat="false" ht="15" hidden="false" customHeight="false" outlineLevel="0" collapsed="false">
      <c r="A36" s="25" t="s">
        <v>41</v>
      </c>
      <c r="B36" s="26" t="s">
        <v>320</v>
      </c>
      <c r="C36" s="26" t="s">
        <v>94</v>
      </c>
      <c r="D36" s="15" t="n">
        <v>20</v>
      </c>
      <c r="E36" s="26" t="str">
        <f aca="false">IF(D36="","No Data",IF(D36&gt;=$K$2,"Tier A (Top 15%)",IF(D36&gt;=$K$3,"Tier B (Top 40%)",IF(D36&gt;=$K$4,"Tier C (Top 70%)","Tier D (Bottom 30%)"))))</f>
        <v>Tier D (Bottom 30%)</v>
      </c>
      <c r="F36" s="27" t="n">
        <f aca="false">VLOOKUP(E36,'Bid Tiers (Relative Volume)'!$A$5:$C$9,3,FALSE())</f>
        <v>0.4</v>
      </c>
      <c r="G36" s="14"/>
    </row>
    <row r="37" customFormat="false" ht="15" hidden="false" customHeight="false" outlineLevel="0" collapsed="false">
      <c r="A37" s="25" t="s">
        <v>41</v>
      </c>
      <c r="B37" s="26" t="s">
        <v>321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D (Bottom 30%)</v>
      </c>
      <c r="F37" s="27" t="n">
        <f aca="false">VLOOKUP(E37,'Bid Tiers (Relative Volume)'!$A$5:$C$9,3,FALSE())</f>
        <v>0.4</v>
      </c>
      <c r="G37" s="14"/>
    </row>
    <row r="38" customFormat="false" ht="15" hidden="false" customHeight="false" outlineLevel="0" collapsed="false">
      <c r="A38" s="25" t="s">
        <v>41</v>
      </c>
      <c r="B38" s="26" t="s">
        <v>322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44</v>
      </c>
      <c r="B39" s="26" t="s">
        <v>323</v>
      </c>
      <c r="C39" s="26" t="s">
        <v>94</v>
      </c>
      <c r="D39" s="15" t="n">
        <v>20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324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5400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480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5.99999999999998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5400</v>
      </c>
      <c r="E8" s="26" t="str">
        <f aca="false">IF(D8="","No Data",IF(D8&gt;=$K$2,"Tier A (Top 15%)",IF(D8&gt;=$K$3,"Tier B (Top 40%)",IF(D8&gt;=$K$4,"Tier C (Top 70%)","Tier D (Bottom 30%)"))))</f>
        <v>Tier A (Top 15%)</v>
      </c>
      <c r="F8" s="27" t="n">
        <f aca="false">VLOOKUP(E8,'Bid Tiers (Relative Volume)'!$A$5:$C$9,3,FALSE())</f>
        <v>1.9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5400</v>
      </c>
      <c r="E9" s="26" t="str">
        <f aca="false">IF(D9="","No Data",IF(D9&gt;=$K$2,"Tier A (Top 15%)",IF(D9&gt;=$K$3,"Tier B (Top 40%)",IF(D9&gt;=$K$4,"Tier C (Top 70%)","Tier D (Bottom 30%)"))))</f>
        <v>Tier A (Top 15%)</v>
      </c>
      <c r="F9" s="27" t="n">
        <f aca="false">VLOOKUP(E9,'Bid Tiers (Relative Volume)'!$A$5:$C$9,3,FALSE())</f>
        <v>1.9</v>
      </c>
      <c r="G9" s="14"/>
    </row>
    <row r="10" customFormat="false" ht="15" hidden="false" customHeight="false" outlineLevel="0" collapsed="false">
      <c r="A10" s="25" t="s">
        <v>32</v>
      </c>
      <c r="B10" s="26" t="s">
        <v>325</v>
      </c>
      <c r="C10" s="26" t="s">
        <v>94</v>
      </c>
      <c r="D10" s="15" t="n">
        <v>5400</v>
      </c>
      <c r="E10" s="26" t="str">
        <f aca="false">IF(D10="","No Data",IF(D10&gt;=$K$2,"Tier A (Top 15%)",IF(D10&gt;=$K$3,"Tier B (Top 40%)",IF(D10&gt;=$K$4,"Tier C (Top 70%)","Tier D (Bottom 30%)"))))</f>
        <v>Tier A (Top 15%)</v>
      </c>
      <c r="F10" s="27" t="n">
        <f aca="false">VLOOKUP(E10,'Bid Tiers (Relative Volume)'!$A$5:$C$9,3,FALSE())</f>
        <v>1.9</v>
      </c>
      <c r="G10" s="14"/>
    </row>
    <row r="11" customFormat="false" ht="15" hidden="false" customHeight="false" outlineLevel="0" collapsed="false">
      <c r="A11" s="25" t="s">
        <v>32</v>
      </c>
      <c r="B11" s="26" t="s">
        <v>326</v>
      </c>
      <c r="C11" s="26" t="s">
        <v>94</v>
      </c>
      <c r="D11" s="15" t="n">
        <v>880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274</v>
      </c>
      <c r="C12" s="26" t="s">
        <v>94</v>
      </c>
      <c r="D12" s="15" t="n">
        <v>880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327</v>
      </c>
      <c r="C13" s="26" t="s">
        <v>94</v>
      </c>
      <c r="D13" s="15" t="n">
        <v>880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252</v>
      </c>
      <c r="C14" s="26" t="s">
        <v>94</v>
      </c>
      <c r="D14" s="15" t="n">
        <v>480</v>
      </c>
      <c r="E14" s="26" t="str">
        <f aca="false">IF(D14="","No Data",IF(D14&gt;=$K$2,"Tier A (Top 15%)",IF(D14&gt;=$K$3,"Tier B (Top 40%)",IF(D14&gt;=$K$4,"Tier C (Top 70%)","Tier D (Bottom 30%)"))))</f>
        <v>Tier B (Top 40%)</v>
      </c>
      <c r="F14" s="27" t="n">
        <f aca="false">VLOOKUP(E14,'Bid Tiers (Relative Volume)'!$A$5:$C$9,3,FALSE())</f>
        <v>1</v>
      </c>
      <c r="G14" s="14"/>
    </row>
    <row r="15" customFormat="false" ht="15" hidden="false" customHeight="false" outlineLevel="0" collapsed="false">
      <c r="A15" s="25" t="s">
        <v>32</v>
      </c>
      <c r="B15" s="26" t="s">
        <v>328</v>
      </c>
      <c r="C15" s="26" t="s">
        <v>94</v>
      </c>
      <c r="D15" s="15" t="n">
        <v>390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329</v>
      </c>
      <c r="C16" s="26" t="s">
        <v>94</v>
      </c>
      <c r="D16" s="15" t="n">
        <v>390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330</v>
      </c>
      <c r="C17" s="26" t="s">
        <v>94</v>
      </c>
      <c r="D17" s="15" t="n">
        <v>0</v>
      </c>
      <c r="E17" s="26" t="str">
        <f aca="false">IF(D17="","No Data",IF(D17&gt;=$K$2,"Tier A (Top 15%)",IF(D17&gt;=$K$3,"Tier B (Top 40%)",IF(D17&gt;=$K$4,"Tier C (Top 70%)","Tier D (Bottom 30%)"))))</f>
        <v>Tier D (Bottom 30%)</v>
      </c>
      <c r="F17" s="27" t="n">
        <f aca="false">VLOOKUP(E17,'Bid Tiers (Relative Volume)'!$A$5:$C$9,3,FALSE())</f>
        <v>0.4</v>
      </c>
      <c r="G17" s="14"/>
    </row>
    <row r="18" customFormat="false" ht="15" hidden="false" customHeight="false" outlineLevel="0" collapsed="false">
      <c r="A18" s="25" t="s">
        <v>32</v>
      </c>
      <c r="B18" s="26" t="s">
        <v>331</v>
      </c>
      <c r="C18" s="26" t="s">
        <v>94</v>
      </c>
      <c r="D18" s="15" t="n">
        <v>0</v>
      </c>
      <c r="E18" s="26" t="str">
        <f aca="false">IF(D18="","No Data",IF(D18&gt;=$K$2,"Tier A (Top 15%)",IF(D18&gt;=$K$3,"Tier B (Top 40%)",IF(D18&gt;=$K$4,"Tier C (Top 70%)","Tier D (Bottom 30%)"))))</f>
        <v>Tier D (Bottom 30%)</v>
      </c>
      <c r="F18" s="27" t="n">
        <f aca="false">VLOOKUP(E18,'Bid Tiers (Relative Volume)'!$A$5:$C$9,3,FALSE())</f>
        <v>0.4</v>
      </c>
      <c r="G18" s="14"/>
    </row>
    <row r="19" customFormat="false" ht="15" hidden="false" customHeight="false" outlineLevel="0" collapsed="false">
      <c r="A19" s="25" t="s">
        <v>35</v>
      </c>
      <c r="B19" s="26" t="s">
        <v>332</v>
      </c>
      <c r="C19" s="26" t="s">
        <v>94</v>
      </c>
      <c r="D19" s="15" t="n">
        <v>8100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118</v>
      </c>
      <c r="C20" s="26" t="s">
        <v>94</v>
      </c>
      <c r="D20" s="15" t="n">
        <v>5400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333</v>
      </c>
      <c r="C21" s="26" t="s">
        <v>94</v>
      </c>
      <c r="D21" s="15" t="n">
        <v>2900</v>
      </c>
      <c r="E21" s="26" t="str">
        <f aca="false">IF(D21="","No Data",IF(D21&gt;=$K$2,"Tier A (Top 15%)",IF(D21&gt;=$K$3,"Tier B (Top 40%)",IF(D21&gt;=$K$4,"Tier C (Top 70%)","Tier D (Bottom 30%)"))))</f>
        <v>Tier B (Top 40%)</v>
      </c>
      <c r="F21" s="27" t="n">
        <f aca="false">VLOOKUP(E21,'Bid Tiers (Relative Volume)'!$A$5:$C$9,3,FALSE())</f>
        <v>1</v>
      </c>
      <c r="G21" s="14"/>
    </row>
    <row r="22" customFormat="false" ht="15" hidden="false" customHeight="false" outlineLevel="0" collapsed="false">
      <c r="A22" s="25" t="s">
        <v>35</v>
      </c>
      <c r="B22" s="26" t="s">
        <v>334</v>
      </c>
      <c r="C22" s="26" t="s">
        <v>94</v>
      </c>
      <c r="D22" s="15" t="n">
        <v>320</v>
      </c>
      <c r="E22" s="26" t="str">
        <f aca="false">IF(D22="","No Data",IF(D22&gt;=$K$2,"Tier A (Top 15%)",IF(D22&gt;=$K$3,"Tier B (Top 40%)",IF(D22&gt;=$K$4,"Tier C (Top 70%)","Tier D (Bottom 30%)"))))</f>
        <v>Tier C (Top 70%)</v>
      </c>
      <c r="F22" s="27" t="n">
        <f aca="false">VLOOKUP(E22,'Bid Tiers (Relative Volume)'!$A$5:$C$9,3,FALSE())</f>
        <v>0.65</v>
      </c>
      <c r="G22" s="14"/>
    </row>
    <row r="23" customFormat="false" ht="15" hidden="false" customHeight="false" outlineLevel="0" collapsed="false">
      <c r="A23" s="25" t="s">
        <v>35</v>
      </c>
      <c r="B23" s="26" t="s">
        <v>335</v>
      </c>
      <c r="C23" s="26" t="s">
        <v>94</v>
      </c>
      <c r="D23" s="15" t="n">
        <v>320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336</v>
      </c>
      <c r="C24" s="26" t="s">
        <v>94</v>
      </c>
      <c r="D24" s="15" t="n">
        <v>20</v>
      </c>
      <c r="E24" s="26" t="str">
        <f aca="false">IF(D24="","No Data",IF(D24&gt;=$K$2,"Tier A (Top 15%)",IF(D24&gt;=$K$3,"Tier B (Top 40%)",IF(D24&gt;=$K$4,"Tier C (Top 70%)","Tier D (Bottom 30%)"))))</f>
        <v>Tier C (Top 70%)</v>
      </c>
      <c r="F24" s="27" t="n">
        <f aca="false">VLOOKUP(E24,'Bid Tiers (Relative Volume)'!$A$5:$C$9,3,FALSE())</f>
        <v>0.65</v>
      </c>
      <c r="G24" s="14"/>
    </row>
    <row r="25" customFormat="false" ht="15" hidden="false" customHeight="false" outlineLevel="0" collapsed="false">
      <c r="A25" s="25" t="s">
        <v>35</v>
      </c>
      <c r="B25" s="26" t="s">
        <v>337</v>
      </c>
      <c r="C25" s="26" t="s">
        <v>94</v>
      </c>
      <c r="D25" s="15" t="n">
        <v>0</v>
      </c>
      <c r="E25" s="26" t="str">
        <f aca="false">IF(D25="","No Data",IF(D25&gt;=$K$2,"Tier A (Top 15%)",IF(D25&gt;=$K$3,"Tier B (Top 40%)",IF(D25&gt;=$K$4,"Tier C (Top 70%)","Tier D (Bottom 30%)"))))</f>
        <v>Tier D (Bottom 30%)</v>
      </c>
      <c r="F25" s="27" t="n">
        <f aca="false">VLOOKUP(E25,'Bid Tiers (Relative Volume)'!$A$5:$C$9,3,FALSE())</f>
        <v>0.4</v>
      </c>
      <c r="G25" s="14"/>
    </row>
    <row r="26" customFormat="false" ht="15" hidden="false" customHeight="false" outlineLevel="0" collapsed="false">
      <c r="A26" s="25" t="s">
        <v>35</v>
      </c>
      <c r="B26" s="26" t="s">
        <v>338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D (Bottom 30%)</v>
      </c>
      <c r="F26" s="27" t="n">
        <f aca="false">VLOOKUP(E26,'Bid Tiers (Relative Volume)'!$A$5:$C$9,3,FALSE())</f>
        <v>0.4</v>
      </c>
      <c r="G26" s="14"/>
    </row>
    <row r="27" customFormat="false" ht="15" hidden="false" customHeight="false" outlineLevel="0" collapsed="false">
      <c r="A27" s="25" t="s">
        <v>35</v>
      </c>
      <c r="B27" s="26" t="s">
        <v>339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D (Bottom 30%)</v>
      </c>
      <c r="F27" s="27" t="n">
        <f aca="false">VLOOKUP(E27,'Bid Tiers (Relative Volume)'!$A$5:$C$9,3,FALSE())</f>
        <v>0.4</v>
      </c>
      <c r="G27" s="14"/>
    </row>
    <row r="28" customFormat="false" ht="15" hidden="false" customHeight="false" outlineLevel="0" collapsed="false">
      <c r="A28" s="25" t="s">
        <v>38</v>
      </c>
      <c r="B28" s="26" t="s">
        <v>288</v>
      </c>
      <c r="C28" s="26" t="s">
        <v>94</v>
      </c>
      <c r="D28" s="15" t="n">
        <v>480</v>
      </c>
      <c r="E28" s="26" t="str">
        <f aca="false">IF(D28="","No Data",IF(D28&gt;=$K$2,"Tier A (Top 15%)",IF(D28&gt;=$K$3,"Tier B (Top 40%)",IF(D28&gt;=$K$4,"Tier C (Top 70%)","Tier D (Bottom 30%)"))))</f>
        <v>Tier B (Top 40%)</v>
      </c>
      <c r="F28" s="27" t="n">
        <f aca="false">VLOOKUP(E28,'Bid Tiers (Relative Volume)'!$A$5:$C$9,3,FALSE())</f>
        <v>1</v>
      </c>
      <c r="G28" s="14"/>
    </row>
    <row r="29" customFormat="false" ht="15" hidden="false" customHeight="false" outlineLevel="0" collapsed="false">
      <c r="A29" s="25" t="s">
        <v>38</v>
      </c>
      <c r="B29" s="26" t="s">
        <v>340</v>
      </c>
      <c r="C29" s="26" t="s">
        <v>94</v>
      </c>
      <c r="D29" s="15" t="n">
        <v>0</v>
      </c>
      <c r="E29" s="26" t="str">
        <f aca="false">IF(D29="","No Data",IF(D29&gt;=$K$2,"Tier A (Top 15%)",IF(D29&gt;=$K$3,"Tier B (Top 40%)",IF(D29&gt;=$K$4,"Tier C (Top 70%)","Tier D (Bottom 30%)"))))</f>
        <v>Tier D (Bottom 30%)</v>
      </c>
      <c r="F29" s="27" t="n">
        <f aca="false">VLOOKUP(E29,'Bid Tiers (Relative Volume)'!$A$5:$C$9,3,FALSE())</f>
        <v>0.4</v>
      </c>
      <c r="G29" s="14"/>
    </row>
    <row r="30" customFormat="false" ht="15" hidden="false" customHeight="false" outlineLevel="0" collapsed="false">
      <c r="A30" s="25" t="s">
        <v>41</v>
      </c>
      <c r="B30" s="26" t="s">
        <v>341</v>
      </c>
      <c r="C30" s="26" t="s">
        <v>94</v>
      </c>
      <c r="D30" s="15" t="n">
        <v>5400</v>
      </c>
      <c r="E30" s="26" t="str">
        <f aca="false">IF(D30="","No Data",IF(D30&gt;=$K$2,"Tier A (Top 15%)",IF(D30&gt;=$K$3,"Tier B (Top 40%)",IF(D30&gt;=$K$4,"Tier C (Top 70%)","Tier D (Bottom 30%)"))))</f>
        <v>Tier A (Top 15%)</v>
      </c>
      <c r="F30" s="27" t="n">
        <f aca="false">VLOOKUP(E30,'Bid Tiers (Relative Volume)'!$A$5:$C$9,3,FALSE())</f>
        <v>1.9</v>
      </c>
      <c r="G30" s="14"/>
    </row>
    <row r="31" customFormat="false" ht="15" hidden="false" customHeight="false" outlineLevel="0" collapsed="false">
      <c r="A31" s="25" t="s">
        <v>41</v>
      </c>
      <c r="B31" s="26" t="s">
        <v>290</v>
      </c>
      <c r="C31" s="26" t="s">
        <v>94</v>
      </c>
      <c r="D31" s="15" t="n">
        <v>3600</v>
      </c>
      <c r="E31" s="26" t="str">
        <f aca="false">IF(D31="","No Data",IF(D31&gt;=$K$2,"Tier A (Top 15%)",IF(D31&gt;=$K$3,"Tier B (Top 40%)",IF(D31&gt;=$K$4,"Tier C (Top 70%)","Tier D (Bottom 30%)"))))</f>
        <v>Tier B (Top 40%)</v>
      </c>
      <c r="F31" s="27" t="n">
        <f aca="false">VLOOKUP(E31,'Bid Tiers (Relative Volume)'!$A$5:$C$9,3,FALSE())</f>
        <v>1</v>
      </c>
      <c r="G31" s="14"/>
    </row>
    <row r="32" customFormat="false" ht="15" hidden="false" customHeight="false" outlineLevel="0" collapsed="false">
      <c r="A32" s="25" t="s">
        <v>41</v>
      </c>
      <c r="B32" s="26" t="s">
        <v>342</v>
      </c>
      <c r="C32" s="26" t="s">
        <v>94</v>
      </c>
      <c r="D32" s="15" t="n">
        <v>2400</v>
      </c>
      <c r="E32" s="26" t="str">
        <f aca="false">IF(D32="","No Data",IF(D32&gt;=$K$2,"Tier A (Top 15%)",IF(D32&gt;=$K$3,"Tier B (Top 40%)",IF(D32&gt;=$K$4,"Tier C (Top 70%)","Tier D (Bottom 30%)"))))</f>
        <v>Tier B (Top 40%)</v>
      </c>
      <c r="F32" s="27" t="n">
        <f aca="false">VLOOKUP(E32,'Bid Tiers (Relative Volume)'!$A$5:$C$9,3,FALSE())</f>
        <v>1</v>
      </c>
      <c r="G32" s="14"/>
    </row>
    <row r="33" customFormat="false" ht="15" hidden="false" customHeight="false" outlineLevel="0" collapsed="false">
      <c r="A33" s="25" t="s">
        <v>41</v>
      </c>
      <c r="B33" s="26" t="s">
        <v>343</v>
      </c>
      <c r="C33" s="26" t="s">
        <v>94</v>
      </c>
      <c r="D33" s="15" t="n">
        <v>170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344</v>
      </c>
      <c r="C34" s="26" t="s">
        <v>94</v>
      </c>
      <c r="D34" s="15" t="n">
        <v>140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345</v>
      </c>
      <c r="C35" s="26" t="s">
        <v>94</v>
      </c>
      <c r="D35" s="15" t="n">
        <v>20</v>
      </c>
      <c r="E35" s="26" t="str">
        <f aca="false">IF(D35="","No Data",IF(D35&gt;=$K$2,"Tier A (Top 15%)",IF(D35&gt;=$K$3,"Tier B (Top 40%)",IF(D35&gt;=$K$4,"Tier C (Top 70%)","Tier D (Bottom 30%)"))))</f>
        <v>Tier C (Top 70%)</v>
      </c>
      <c r="F35" s="27" t="n">
        <f aca="false">VLOOKUP(E35,'Bid Tiers (Relative Volume)'!$A$5:$C$9,3,FALSE())</f>
        <v>0.65</v>
      </c>
      <c r="G35" s="14"/>
    </row>
    <row r="36" customFormat="false" ht="15" hidden="false" customHeight="false" outlineLevel="0" collapsed="false">
      <c r="A36" s="25" t="s">
        <v>41</v>
      </c>
      <c r="B36" s="26" t="s">
        <v>346</v>
      </c>
      <c r="C36" s="26" t="s">
        <v>94</v>
      </c>
      <c r="D36" s="15" t="n">
        <v>0</v>
      </c>
      <c r="E36" s="26" t="str">
        <f aca="false">IF(D36="","No Data",IF(D36&gt;=$K$2,"Tier A (Top 15%)",IF(D36&gt;=$K$3,"Tier B (Top 40%)",IF(D36&gt;=$K$4,"Tier C (Top 70%)","Tier D (Bottom 30%)"))))</f>
        <v>Tier D (Bottom 30%)</v>
      </c>
      <c r="F36" s="27" t="n">
        <f aca="false">VLOOKUP(E36,'Bid Tiers (Relative Volume)'!$A$5:$C$9,3,FALSE())</f>
        <v>0.4</v>
      </c>
      <c r="G36" s="14"/>
    </row>
    <row r="37" customFormat="false" ht="15" hidden="false" customHeight="false" outlineLevel="0" collapsed="false">
      <c r="A37" s="25" t="s">
        <v>41</v>
      </c>
      <c r="B37" s="26" t="s">
        <v>347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D (Bottom 30%)</v>
      </c>
      <c r="F37" s="27" t="n">
        <f aca="false">VLOOKUP(E37,'Bid Tiers (Relative Volume)'!$A$5:$C$9,3,FALSE())</f>
        <v>0.4</v>
      </c>
      <c r="G37" s="14"/>
    </row>
    <row r="38" customFormat="false" ht="15" hidden="false" customHeight="false" outlineLevel="0" collapsed="false">
      <c r="A38" s="25" t="s">
        <v>41</v>
      </c>
      <c r="B38" s="26" t="s">
        <v>348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D (Bottom 30%)</v>
      </c>
      <c r="F38" s="27" t="n">
        <f aca="false">VLOOKUP(E38,'Bid Tiers (Relative Volume)'!$A$5:$C$9,3,FALSE())</f>
        <v>0.4</v>
      </c>
      <c r="G38" s="14"/>
    </row>
    <row r="39" customFormat="false" ht="15" hidden="false" customHeight="false" outlineLevel="0" collapsed="false">
      <c r="A39" s="25" t="s">
        <v>44</v>
      </c>
      <c r="B39" s="26" t="s">
        <v>349</v>
      </c>
      <c r="C39" s="26" t="s">
        <v>94</v>
      </c>
      <c r="D39" s="15" t="n">
        <v>0</v>
      </c>
      <c r="E39" s="26" t="str">
        <f aca="false">IF(D39="","No Data",IF(D39&gt;=$K$2,"Tier A (Top 15%)",IF(D39&gt;=$K$3,"Tier B (Top 40%)",IF(D39&gt;=$K$4,"Tier C (Top 70%)","Tier D (Bottom 30%)"))))</f>
        <v>Tier D (Bottom 30%)</v>
      </c>
      <c r="F39" s="27" t="n">
        <f aca="false">VLOOKUP(E39,'Bid Tiers (Relative Volume)'!$A$5:$C$9,3,FALSE())</f>
        <v>0.4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350</v>
      </c>
      <c r="J1" s="18" t="s">
        <v>85</v>
      </c>
    </row>
    <row r="2" customFormat="false" ht="15" hidden="false" customHeight="false" outlineLevel="0" collapsed="false">
      <c r="A2" s="2" t="s">
        <v>187</v>
      </c>
      <c r="J2" s="19" t="s">
        <v>87</v>
      </c>
      <c r="K2" s="20" t="n">
        <f aca="false">PERCENTILE(D8:D39,0.85)</f>
        <v>7125</v>
      </c>
    </row>
    <row r="3" customFormat="false" ht="39.5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188</v>
      </c>
      <c r="E3" s="6" t="s">
        <v>58</v>
      </c>
      <c r="F3" s="6" t="s">
        <v>91</v>
      </c>
      <c r="G3" s="6" t="s">
        <v>20</v>
      </c>
      <c r="J3" s="19" t="s">
        <v>92</v>
      </c>
      <c r="K3" s="20" t="n">
        <f aca="false">PERCENTILE(D8:D39,0.6)</f>
        <v>1000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  <c r="J4" s="19" t="s">
        <v>97</v>
      </c>
      <c r="K4" s="20" t="n">
        <f aca="false">PERCENTILE(D8:D39,0.3)</f>
        <v>0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155</v>
      </c>
      <c r="C8" s="26" t="s">
        <v>94</v>
      </c>
      <c r="D8" s="15" t="n">
        <v>9900</v>
      </c>
      <c r="E8" s="26" t="str">
        <f aca="false">IF(D8="","No Data",IF(D8&gt;=$K$2,"Tier A (Top 15%)",IF(D8&gt;=$K$3,"Tier B (Top 40%)",IF(D8&gt;=$K$4,"Tier C (Top 70%)","Tier D (Bottom 30%)"))))</f>
        <v>Tier A (Top 15%)</v>
      </c>
      <c r="F8" s="27" t="n">
        <f aca="false">VLOOKUP(E8,'Bid Tiers (Relative Volume)'!$A$5:$C$9,3,FALSE())</f>
        <v>1.9</v>
      </c>
      <c r="G8" s="14"/>
    </row>
    <row r="9" customFormat="false" ht="15" hidden="false" customHeight="false" outlineLevel="0" collapsed="false">
      <c r="A9" s="25" t="s">
        <v>29</v>
      </c>
      <c r="B9" s="26" t="s">
        <v>190</v>
      </c>
      <c r="C9" s="26" t="s">
        <v>94</v>
      </c>
      <c r="D9" s="15" t="n">
        <v>9900</v>
      </c>
      <c r="E9" s="26" t="str">
        <f aca="false">IF(D9="","No Data",IF(D9&gt;=$K$2,"Tier A (Top 15%)",IF(D9&gt;=$K$3,"Tier B (Top 40%)",IF(D9&gt;=$K$4,"Tier C (Top 70%)","Tier D (Bottom 30%)"))))</f>
        <v>Tier A (Top 15%)</v>
      </c>
      <c r="F9" s="27" t="n">
        <f aca="false">VLOOKUP(E9,'Bid Tiers (Relative Volume)'!$A$5:$C$9,3,FALSE())</f>
        <v>1.9</v>
      </c>
      <c r="G9" s="14"/>
    </row>
    <row r="10" customFormat="false" ht="15" hidden="false" customHeight="false" outlineLevel="0" collapsed="false">
      <c r="A10" s="25" t="s">
        <v>32</v>
      </c>
      <c r="B10" s="26" t="s">
        <v>274</v>
      </c>
      <c r="C10" s="26" t="s">
        <v>94</v>
      </c>
      <c r="D10" s="15" t="n">
        <v>2400</v>
      </c>
      <c r="E10" s="26" t="str">
        <f aca="false">IF(D10="","No Data",IF(D10&gt;=$K$2,"Tier A (Top 15%)",IF(D10&gt;=$K$3,"Tier B (Top 40%)",IF(D10&gt;=$K$4,"Tier C (Top 70%)","Tier D (Bottom 30%)"))))</f>
        <v>Tier B (Top 40%)</v>
      </c>
      <c r="F10" s="27" t="n">
        <f aca="false">VLOOKUP(E10,'Bid Tiers (Relative Volume)'!$A$5:$C$9,3,FALSE())</f>
        <v>1</v>
      </c>
      <c r="G10" s="14"/>
    </row>
    <row r="11" customFormat="false" ht="15" hidden="false" customHeight="false" outlineLevel="0" collapsed="false">
      <c r="A11" s="25" t="s">
        <v>32</v>
      </c>
      <c r="B11" s="26" t="s">
        <v>351</v>
      </c>
      <c r="C11" s="26" t="s">
        <v>94</v>
      </c>
      <c r="D11" s="15" t="n">
        <v>2400</v>
      </c>
      <c r="E11" s="26" t="str">
        <f aca="false">IF(D11="","No Data",IF(D11&gt;=$K$2,"Tier A (Top 15%)",IF(D11&gt;=$K$3,"Tier B (Top 40%)",IF(D11&gt;=$K$4,"Tier C (Top 70%)","Tier D (Bottom 30%)"))))</f>
        <v>Tier B (Top 40%)</v>
      </c>
      <c r="F11" s="27" t="n">
        <f aca="false">VLOOKUP(E11,'Bid Tiers (Relative Volume)'!$A$5:$C$9,3,FALSE())</f>
        <v>1</v>
      </c>
      <c r="G11" s="14"/>
    </row>
    <row r="12" customFormat="false" ht="15" hidden="false" customHeight="false" outlineLevel="0" collapsed="false">
      <c r="A12" s="25" t="s">
        <v>32</v>
      </c>
      <c r="B12" s="26" t="s">
        <v>273</v>
      </c>
      <c r="C12" s="26" t="s">
        <v>94</v>
      </c>
      <c r="D12" s="15" t="n">
        <v>1300</v>
      </c>
      <c r="E12" s="26" t="str">
        <f aca="false">IF(D12="","No Data",IF(D12&gt;=$K$2,"Tier A (Top 15%)",IF(D12&gt;=$K$3,"Tier B (Top 40%)",IF(D12&gt;=$K$4,"Tier C (Top 70%)","Tier D (Bottom 30%)"))))</f>
        <v>Tier B (Top 40%)</v>
      </c>
      <c r="F12" s="27" t="n">
        <f aca="false">VLOOKUP(E12,'Bid Tiers (Relative Volume)'!$A$5:$C$9,3,FALSE())</f>
        <v>1</v>
      </c>
      <c r="G12" s="14"/>
    </row>
    <row r="13" customFormat="false" ht="15" hidden="false" customHeight="false" outlineLevel="0" collapsed="false">
      <c r="A13" s="25" t="s">
        <v>32</v>
      </c>
      <c r="B13" s="26" t="s">
        <v>252</v>
      </c>
      <c r="C13" s="26" t="s">
        <v>94</v>
      </c>
      <c r="D13" s="15" t="n">
        <v>1000</v>
      </c>
      <c r="E13" s="26" t="str">
        <f aca="false">IF(D13="","No Data",IF(D13&gt;=$K$2,"Tier A (Top 15%)",IF(D13&gt;=$K$3,"Tier B (Top 40%)",IF(D13&gt;=$K$4,"Tier C (Top 70%)","Tier D (Bottom 30%)"))))</f>
        <v>Tier B (Top 40%)</v>
      </c>
      <c r="F13" s="27" t="n">
        <f aca="false">VLOOKUP(E13,'Bid Tiers (Relative Volume)'!$A$5:$C$9,3,FALSE())</f>
        <v>1</v>
      </c>
      <c r="G13" s="14"/>
    </row>
    <row r="14" customFormat="false" ht="15" hidden="false" customHeight="false" outlineLevel="0" collapsed="false">
      <c r="A14" s="25" t="s">
        <v>32</v>
      </c>
      <c r="B14" s="26" t="s">
        <v>352</v>
      </c>
      <c r="C14" s="26" t="s">
        <v>94</v>
      </c>
      <c r="D14" s="15" t="n">
        <v>1000</v>
      </c>
      <c r="E14" s="26" t="str">
        <f aca="false">IF(D14="","No Data",IF(D14&gt;=$K$2,"Tier A (Top 15%)",IF(D14&gt;=$K$3,"Tier B (Top 40%)",IF(D14&gt;=$K$4,"Tier C (Top 70%)","Tier D (Bottom 30%)"))))</f>
        <v>Tier B (Top 40%)</v>
      </c>
      <c r="F14" s="27" t="n">
        <f aca="false">VLOOKUP(E14,'Bid Tiers (Relative Volume)'!$A$5:$C$9,3,FALSE())</f>
        <v>1</v>
      </c>
      <c r="G14" s="14"/>
    </row>
    <row r="15" customFormat="false" ht="15" hidden="false" customHeight="false" outlineLevel="0" collapsed="false">
      <c r="A15" s="25" t="s">
        <v>32</v>
      </c>
      <c r="B15" s="26" t="s">
        <v>328</v>
      </c>
      <c r="C15" s="26" t="s">
        <v>94</v>
      </c>
      <c r="D15" s="15" t="n">
        <v>390</v>
      </c>
      <c r="E15" s="26" t="str">
        <f aca="false">IF(D15="","No Data",IF(D15&gt;=$K$2,"Tier A (Top 15%)",IF(D15&gt;=$K$3,"Tier B (Top 40%)",IF(D15&gt;=$K$4,"Tier C (Top 70%)","Tier D (Bottom 30%)"))))</f>
        <v>Tier C (Top 70%)</v>
      </c>
      <c r="F15" s="27" t="n">
        <f aca="false">VLOOKUP(E15,'Bid Tiers (Relative Volume)'!$A$5:$C$9,3,FALSE())</f>
        <v>0.65</v>
      </c>
      <c r="G15" s="14"/>
    </row>
    <row r="16" customFormat="false" ht="15" hidden="false" customHeight="false" outlineLevel="0" collapsed="false">
      <c r="A16" s="25" t="s">
        <v>32</v>
      </c>
      <c r="B16" s="26" t="s">
        <v>353</v>
      </c>
      <c r="C16" s="26" t="s">
        <v>94</v>
      </c>
      <c r="D16" s="15" t="n">
        <v>0</v>
      </c>
      <c r="E16" s="26" t="str">
        <f aca="false">IF(D16="","No Data",IF(D16&gt;=$K$2,"Tier A (Top 15%)",IF(D16&gt;=$K$3,"Tier B (Top 40%)",IF(D16&gt;=$K$4,"Tier C (Top 70%)","Tier D (Bottom 30%)"))))</f>
        <v>Tier C (Top 70%)</v>
      </c>
      <c r="F16" s="27" t="n">
        <f aca="false">VLOOKUP(E16,'Bid Tiers (Relative Volume)'!$A$5:$C$9,3,FALSE())</f>
        <v>0.65</v>
      </c>
      <c r="G16" s="14"/>
    </row>
    <row r="17" customFormat="false" ht="15" hidden="false" customHeight="false" outlineLevel="0" collapsed="false">
      <c r="A17" s="25" t="s">
        <v>32</v>
      </c>
      <c r="B17" s="26" t="s">
        <v>354</v>
      </c>
      <c r="C17" s="26" t="s">
        <v>94</v>
      </c>
      <c r="D17" s="15" t="n">
        <v>0</v>
      </c>
      <c r="E17" s="26" t="str">
        <f aca="false">IF(D17="","No Data",IF(D17&gt;=$K$2,"Tier A (Top 15%)",IF(D17&gt;=$K$3,"Tier B (Top 40%)",IF(D17&gt;=$K$4,"Tier C (Top 70%)","Tier D (Bottom 30%)"))))</f>
        <v>Tier C (Top 70%)</v>
      </c>
      <c r="F17" s="27" t="n">
        <f aca="false">VLOOKUP(E17,'Bid Tiers (Relative Volume)'!$A$5:$C$9,3,FALSE())</f>
        <v>0.65</v>
      </c>
      <c r="G17" s="14"/>
    </row>
    <row r="18" customFormat="false" ht="15" hidden="false" customHeight="false" outlineLevel="0" collapsed="false">
      <c r="A18" s="25" t="s">
        <v>32</v>
      </c>
      <c r="B18" s="26" t="s">
        <v>355</v>
      </c>
      <c r="C18" s="26" t="s">
        <v>94</v>
      </c>
      <c r="D18" s="15" t="n">
        <v>0</v>
      </c>
      <c r="E18" s="26" t="str">
        <f aca="false">IF(D18="","No Data",IF(D18&gt;=$K$2,"Tier A (Top 15%)",IF(D18&gt;=$K$3,"Tier B (Top 40%)",IF(D18&gt;=$K$4,"Tier C (Top 70%)","Tier D (Bottom 30%)"))))</f>
        <v>Tier C (Top 70%)</v>
      </c>
      <c r="F18" s="27" t="n">
        <f aca="false">VLOOKUP(E18,'Bid Tiers (Relative Volume)'!$A$5:$C$9,3,FALSE())</f>
        <v>0.65</v>
      </c>
      <c r="G18" s="14"/>
    </row>
    <row r="19" customFormat="false" ht="15" hidden="false" customHeight="false" outlineLevel="0" collapsed="false">
      <c r="A19" s="25" t="s">
        <v>35</v>
      </c>
      <c r="B19" s="26" t="s">
        <v>118</v>
      </c>
      <c r="C19" s="26" t="s">
        <v>94</v>
      </c>
      <c r="D19" s="15" t="n">
        <v>18100</v>
      </c>
      <c r="E19" s="26" t="str">
        <f aca="false">IF(D19="","No Data",IF(D19&gt;=$K$2,"Tier A (Top 15%)",IF(D19&gt;=$K$3,"Tier B (Top 40%)",IF(D19&gt;=$K$4,"Tier C (Top 70%)","Tier D (Bottom 30%)"))))</f>
        <v>Tier A (Top 15%)</v>
      </c>
      <c r="F19" s="27" t="n">
        <f aca="false">VLOOKUP(E19,'Bid Tiers (Relative Volume)'!$A$5:$C$9,3,FALSE())</f>
        <v>1.9</v>
      </c>
      <c r="G19" s="14"/>
    </row>
    <row r="20" customFormat="false" ht="15" hidden="false" customHeight="false" outlineLevel="0" collapsed="false">
      <c r="A20" s="25" t="s">
        <v>35</v>
      </c>
      <c r="B20" s="26" t="s">
        <v>356</v>
      </c>
      <c r="C20" s="26" t="s">
        <v>94</v>
      </c>
      <c r="D20" s="15" t="n">
        <v>9900</v>
      </c>
      <c r="E20" s="26" t="str">
        <f aca="false">IF(D20="","No Data",IF(D20&gt;=$K$2,"Tier A (Top 15%)",IF(D20&gt;=$K$3,"Tier B (Top 40%)",IF(D20&gt;=$K$4,"Tier C (Top 70%)","Tier D (Bottom 30%)"))))</f>
        <v>Tier A (Top 15%)</v>
      </c>
      <c r="F20" s="27" t="n">
        <f aca="false">VLOOKUP(E20,'Bid Tiers (Relative Volume)'!$A$5:$C$9,3,FALSE())</f>
        <v>1.9</v>
      </c>
      <c r="G20" s="14"/>
    </row>
    <row r="21" customFormat="false" ht="15" hidden="false" customHeight="false" outlineLevel="0" collapsed="false">
      <c r="A21" s="25" t="s">
        <v>35</v>
      </c>
      <c r="B21" s="26" t="s">
        <v>357</v>
      </c>
      <c r="C21" s="26" t="s">
        <v>94</v>
      </c>
      <c r="D21" s="15" t="n">
        <v>8100</v>
      </c>
      <c r="E21" s="26" t="str">
        <f aca="false">IF(D21="","No Data",IF(D21&gt;=$K$2,"Tier A (Top 15%)",IF(D21&gt;=$K$3,"Tier B (Top 40%)",IF(D21&gt;=$K$4,"Tier C (Top 70%)","Tier D (Bottom 30%)"))))</f>
        <v>Tier A (Top 15%)</v>
      </c>
      <c r="F21" s="27" t="n">
        <f aca="false">VLOOKUP(E21,'Bid Tiers (Relative Volume)'!$A$5:$C$9,3,FALSE())</f>
        <v>1.9</v>
      </c>
      <c r="G21" s="14"/>
    </row>
    <row r="22" customFormat="false" ht="15" hidden="false" customHeight="false" outlineLevel="0" collapsed="false">
      <c r="A22" s="25" t="s">
        <v>35</v>
      </c>
      <c r="B22" s="26" t="s">
        <v>282</v>
      </c>
      <c r="C22" s="26" t="s">
        <v>94</v>
      </c>
      <c r="D22" s="15" t="n">
        <v>1300</v>
      </c>
      <c r="E22" s="26" t="str">
        <f aca="false">IF(D22="","No Data",IF(D22&gt;=$K$2,"Tier A (Top 15%)",IF(D22&gt;=$K$3,"Tier B (Top 40%)",IF(D22&gt;=$K$4,"Tier C (Top 70%)","Tier D (Bottom 30%)"))))</f>
        <v>Tier B (Top 40%)</v>
      </c>
      <c r="F22" s="27" t="n">
        <f aca="false">VLOOKUP(E22,'Bid Tiers (Relative Volume)'!$A$5:$C$9,3,FALSE())</f>
        <v>1</v>
      </c>
      <c r="G22" s="14"/>
    </row>
    <row r="23" customFormat="false" ht="15" hidden="false" customHeight="false" outlineLevel="0" collapsed="false">
      <c r="A23" s="25" t="s">
        <v>35</v>
      </c>
      <c r="B23" s="26" t="s">
        <v>358</v>
      </c>
      <c r="C23" s="26" t="s">
        <v>94</v>
      </c>
      <c r="D23" s="15" t="n">
        <v>70</v>
      </c>
      <c r="E23" s="26" t="str">
        <f aca="false">IF(D23="","No Data",IF(D23&gt;=$K$2,"Tier A (Top 15%)",IF(D23&gt;=$K$3,"Tier B (Top 40%)",IF(D23&gt;=$K$4,"Tier C (Top 70%)","Tier D (Bottom 30%)"))))</f>
        <v>Tier C (Top 70%)</v>
      </c>
      <c r="F23" s="27" t="n">
        <f aca="false">VLOOKUP(E23,'Bid Tiers (Relative Volume)'!$A$5:$C$9,3,FALSE())</f>
        <v>0.65</v>
      </c>
      <c r="G23" s="14"/>
    </row>
    <row r="24" customFormat="false" ht="15" hidden="false" customHeight="false" outlineLevel="0" collapsed="false">
      <c r="A24" s="25" t="s">
        <v>35</v>
      </c>
      <c r="B24" s="26" t="s">
        <v>359</v>
      </c>
      <c r="C24" s="26" t="s">
        <v>94</v>
      </c>
      <c r="D24" s="15" t="n">
        <v>20</v>
      </c>
      <c r="E24" s="26" t="str">
        <f aca="false">IF(D24="","No Data",IF(D24&gt;=$K$2,"Tier A (Top 15%)",IF(D24&gt;=$K$3,"Tier B (Top 40%)",IF(D24&gt;=$K$4,"Tier C (Top 70%)","Tier D (Bottom 30%)"))))</f>
        <v>Tier C (Top 70%)</v>
      </c>
      <c r="F24" s="27" t="n">
        <f aca="false">VLOOKUP(E24,'Bid Tiers (Relative Volume)'!$A$5:$C$9,3,FALSE())</f>
        <v>0.65</v>
      </c>
      <c r="G24" s="14"/>
    </row>
    <row r="25" customFormat="false" ht="15" hidden="false" customHeight="false" outlineLevel="0" collapsed="false">
      <c r="A25" s="25" t="s">
        <v>35</v>
      </c>
      <c r="B25" s="26" t="s">
        <v>360</v>
      </c>
      <c r="C25" s="26" t="s">
        <v>94</v>
      </c>
      <c r="D25" s="15" t="n">
        <v>0</v>
      </c>
      <c r="E25" s="26" t="str">
        <f aca="false">IF(D25="","No Data",IF(D25&gt;=$K$2,"Tier A (Top 15%)",IF(D25&gt;=$K$3,"Tier B (Top 40%)",IF(D25&gt;=$K$4,"Tier C (Top 70%)","Tier D (Bottom 30%)"))))</f>
        <v>Tier C (Top 70%)</v>
      </c>
      <c r="F25" s="27" t="n">
        <f aca="false">VLOOKUP(E25,'Bid Tiers (Relative Volume)'!$A$5:$C$9,3,FALSE())</f>
        <v>0.65</v>
      </c>
      <c r="G25" s="14"/>
    </row>
    <row r="26" customFormat="false" ht="15" hidden="false" customHeight="false" outlineLevel="0" collapsed="false">
      <c r="A26" s="25" t="s">
        <v>35</v>
      </c>
      <c r="B26" s="26" t="s">
        <v>361</v>
      </c>
      <c r="C26" s="26" t="s">
        <v>94</v>
      </c>
      <c r="D26" s="15" t="n">
        <v>0</v>
      </c>
      <c r="E26" s="26" t="str">
        <f aca="false">IF(D26="","No Data",IF(D26&gt;=$K$2,"Tier A (Top 15%)",IF(D26&gt;=$K$3,"Tier B (Top 40%)",IF(D26&gt;=$K$4,"Tier C (Top 70%)","Tier D (Bottom 30%)"))))</f>
        <v>Tier C (Top 70%)</v>
      </c>
      <c r="F26" s="27" t="n">
        <f aca="false">VLOOKUP(E26,'Bid Tiers (Relative Volume)'!$A$5:$C$9,3,FALSE())</f>
        <v>0.65</v>
      </c>
      <c r="G26" s="14"/>
    </row>
    <row r="27" customFormat="false" ht="15" hidden="false" customHeight="false" outlineLevel="0" collapsed="false">
      <c r="A27" s="25" t="s">
        <v>35</v>
      </c>
      <c r="B27" s="26" t="s">
        <v>362</v>
      </c>
      <c r="C27" s="26" t="s">
        <v>94</v>
      </c>
      <c r="D27" s="15" t="n">
        <v>0</v>
      </c>
      <c r="E27" s="26" t="str">
        <f aca="false">IF(D27="","No Data",IF(D27&gt;=$K$2,"Tier A (Top 15%)",IF(D27&gt;=$K$3,"Tier B (Top 40%)",IF(D27&gt;=$K$4,"Tier C (Top 70%)","Tier D (Bottom 30%)"))))</f>
        <v>Tier C (Top 70%)</v>
      </c>
      <c r="F27" s="27" t="n">
        <f aca="false">VLOOKUP(E27,'Bid Tiers (Relative Volume)'!$A$5:$C$9,3,FALSE())</f>
        <v>0.65</v>
      </c>
      <c r="G27" s="14"/>
    </row>
    <row r="28" customFormat="false" ht="15" hidden="false" customHeight="false" outlineLevel="0" collapsed="false">
      <c r="A28" s="25" t="s">
        <v>38</v>
      </c>
      <c r="B28" s="26" t="s">
        <v>363</v>
      </c>
      <c r="C28" s="26" t="s">
        <v>94</v>
      </c>
      <c r="D28" s="15" t="n">
        <v>1600</v>
      </c>
      <c r="E28" s="26" t="str">
        <f aca="false">IF(D28="","No Data",IF(D28&gt;=$K$2,"Tier A (Top 15%)",IF(D28&gt;=$K$3,"Tier B (Top 40%)",IF(D28&gt;=$K$4,"Tier C (Top 70%)","Tier D (Bottom 30%)"))))</f>
        <v>Tier B (Top 40%)</v>
      </c>
      <c r="F28" s="27" t="n">
        <f aca="false">VLOOKUP(E28,'Bid Tiers (Relative Volume)'!$A$5:$C$9,3,FALSE())</f>
        <v>1</v>
      </c>
      <c r="G28" s="14"/>
    </row>
    <row r="29" customFormat="false" ht="15" hidden="false" customHeight="false" outlineLevel="0" collapsed="false">
      <c r="A29" s="25" t="s">
        <v>38</v>
      </c>
      <c r="B29" s="26" t="s">
        <v>364</v>
      </c>
      <c r="C29" s="26" t="s">
        <v>94</v>
      </c>
      <c r="D29" s="15" t="n">
        <v>0</v>
      </c>
      <c r="E29" s="26" t="str">
        <f aca="false">IF(D29="","No Data",IF(D29&gt;=$K$2,"Tier A (Top 15%)",IF(D29&gt;=$K$3,"Tier B (Top 40%)",IF(D29&gt;=$K$4,"Tier C (Top 70%)","Tier D (Bottom 30%)"))))</f>
        <v>Tier C (Top 70%)</v>
      </c>
      <c r="F29" s="27" t="n">
        <f aca="false">VLOOKUP(E29,'Bid Tiers (Relative Volume)'!$A$5:$C$9,3,FALSE())</f>
        <v>0.65</v>
      </c>
      <c r="G29" s="14"/>
    </row>
    <row r="30" customFormat="false" ht="15" hidden="false" customHeight="false" outlineLevel="0" collapsed="false">
      <c r="A30" s="25" t="s">
        <v>41</v>
      </c>
      <c r="B30" s="26" t="s">
        <v>178</v>
      </c>
      <c r="C30" s="26" t="s">
        <v>94</v>
      </c>
      <c r="D30" s="15" t="n">
        <v>6600</v>
      </c>
      <c r="E30" s="26" t="str">
        <f aca="false">IF(D30="","No Data",IF(D30&gt;=$K$2,"Tier A (Top 15%)",IF(D30&gt;=$K$3,"Tier B (Top 40%)",IF(D30&gt;=$K$4,"Tier C (Top 70%)","Tier D (Bottom 30%)"))))</f>
        <v>Tier B (Top 40%)</v>
      </c>
      <c r="F30" s="27" t="n">
        <f aca="false">VLOOKUP(E30,'Bid Tiers (Relative Volume)'!$A$5:$C$9,3,FALSE())</f>
        <v>1</v>
      </c>
      <c r="G30" s="14"/>
    </row>
    <row r="31" customFormat="false" ht="15" hidden="false" customHeight="false" outlineLevel="0" collapsed="false">
      <c r="A31" s="25" t="s">
        <v>41</v>
      </c>
      <c r="B31" s="26" t="s">
        <v>365</v>
      </c>
      <c r="C31" s="26" t="s">
        <v>94</v>
      </c>
      <c r="D31" s="15" t="n">
        <v>3600</v>
      </c>
      <c r="E31" s="26" t="str">
        <f aca="false">IF(D31="","No Data",IF(D31&gt;=$K$2,"Tier A (Top 15%)",IF(D31&gt;=$K$3,"Tier B (Top 40%)",IF(D31&gt;=$K$4,"Tier C (Top 70%)","Tier D (Bottom 30%)"))))</f>
        <v>Tier B (Top 40%)</v>
      </c>
      <c r="F31" s="27" t="n">
        <f aca="false">VLOOKUP(E31,'Bid Tiers (Relative Volume)'!$A$5:$C$9,3,FALSE())</f>
        <v>1</v>
      </c>
      <c r="G31" s="14"/>
    </row>
    <row r="32" customFormat="false" ht="15" hidden="false" customHeight="false" outlineLevel="0" collapsed="false">
      <c r="A32" s="25" t="s">
        <v>41</v>
      </c>
      <c r="B32" s="26" t="s">
        <v>366</v>
      </c>
      <c r="C32" s="26" t="s">
        <v>94</v>
      </c>
      <c r="D32" s="15" t="n">
        <v>480</v>
      </c>
      <c r="E32" s="26" t="str">
        <f aca="false">IF(D32="","No Data",IF(D32&gt;=$K$2,"Tier A (Top 15%)",IF(D32&gt;=$K$3,"Tier B (Top 40%)",IF(D32&gt;=$K$4,"Tier C (Top 70%)","Tier D (Bottom 30%)"))))</f>
        <v>Tier C (Top 70%)</v>
      </c>
      <c r="F32" s="27" t="n">
        <f aca="false">VLOOKUP(E32,'Bid Tiers (Relative Volume)'!$A$5:$C$9,3,FALSE())</f>
        <v>0.65</v>
      </c>
      <c r="G32" s="14"/>
    </row>
    <row r="33" customFormat="false" ht="15" hidden="false" customHeight="false" outlineLevel="0" collapsed="false">
      <c r="A33" s="25" t="s">
        <v>41</v>
      </c>
      <c r="B33" s="26" t="s">
        <v>367</v>
      </c>
      <c r="C33" s="26" t="s">
        <v>94</v>
      </c>
      <c r="D33" s="15" t="n">
        <v>390</v>
      </c>
      <c r="E33" s="26" t="str">
        <f aca="false">IF(D33="","No Data",IF(D33&gt;=$K$2,"Tier A (Top 15%)",IF(D33&gt;=$K$3,"Tier B (Top 40%)",IF(D33&gt;=$K$4,"Tier C (Top 70%)","Tier D (Bottom 30%)"))))</f>
        <v>Tier C (Top 70%)</v>
      </c>
      <c r="F33" s="27" t="n">
        <f aca="false">VLOOKUP(E33,'Bid Tiers (Relative Volume)'!$A$5:$C$9,3,FALSE())</f>
        <v>0.65</v>
      </c>
      <c r="G33" s="14"/>
    </row>
    <row r="34" customFormat="false" ht="15" hidden="false" customHeight="false" outlineLevel="0" collapsed="false">
      <c r="A34" s="25" t="s">
        <v>41</v>
      </c>
      <c r="B34" s="26" t="s">
        <v>368</v>
      </c>
      <c r="C34" s="26" t="s">
        <v>94</v>
      </c>
      <c r="D34" s="15" t="n">
        <v>210</v>
      </c>
      <c r="E34" s="26" t="str">
        <f aca="false">IF(D34="","No Data",IF(D34&gt;=$K$2,"Tier A (Top 15%)",IF(D34&gt;=$K$3,"Tier B (Top 40%)",IF(D34&gt;=$K$4,"Tier C (Top 70%)","Tier D (Bottom 30%)"))))</f>
        <v>Tier C (Top 70%)</v>
      </c>
      <c r="F34" s="27" t="n">
        <f aca="false">VLOOKUP(E34,'Bid Tiers (Relative Volume)'!$A$5:$C$9,3,FALSE())</f>
        <v>0.65</v>
      </c>
      <c r="G34" s="14"/>
    </row>
    <row r="35" customFormat="false" ht="15" hidden="false" customHeight="false" outlineLevel="0" collapsed="false">
      <c r="A35" s="25" t="s">
        <v>41</v>
      </c>
      <c r="B35" s="26" t="s">
        <v>369</v>
      </c>
      <c r="C35" s="26" t="s">
        <v>94</v>
      </c>
      <c r="D35" s="15" t="n">
        <v>20</v>
      </c>
      <c r="E35" s="26" t="str">
        <f aca="false">IF(D35="","No Data",IF(D35&gt;=$K$2,"Tier A (Top 15%)",IF(D35&gt;=$K$3,"Tier B (Top 40%)",IF(D35&gt;=$K$4,"Tier C (Top 70%)","Tier D (Bottom 30%)"))))</f>
        <v>Tier C (Top 70%)</v>
      </c>
      <c r="F35" s="27" t="n">
        <f aca="false">VLOOKUP(E35,'Bid Tiers (Relative Volume)'!$A$5:$C$9,3,FALSE())</f>
        <v>0.65</v>
      </c>
      <c r="G35" s="14"/>
    </row>
    <row r="36" customFormat="false" ht="15" hidden="false" customHeight="false" outlineLevel="0" collapsed="false">
      <c r="A36" s="25" t="s">
        <v>41</v>
      </c>
      <c r="B36" s="26" t="s">
        <v>370</v>
      </c>
      <c r="C36" s="26" t="s">
        <v>94</v>
      </c>
      <c r="D36" s="15" t="n">
        <v>0</v>
      </c>
      <c r="E36" s="26" t="str">
        <f aca="false">IF(D36="","No Data",IF(D36&gt;=$K$2,"Tier A (Top 15%)",IF(D36&gt;=$K$3,"Tier B (Top 40%)",IF(D36&gt;=$K$4,"Tier C (Top 70%)","Tier D (Bottom 30%)"))))</f>
        <v>Tier C (Top 70%)</v>
      </c>
      <c r="F36" s="27" t="n">
        <f aca="false">VLOOKUP(E36,'Bid Tiers (Relative Volume)'!$A$5:$C$9,3,FALSE())</f>
        <v>0.65</v>
      </c>
      <c r="G36" s="14"/>
    </row>
    <row r="37" customFormat="false" ht="15" hidden="false" customHeight="false" outlineLevel="0" collapsed="false">
      <c r="A37" s="25" t="s">
        <v>41</v>
      </c>
      <c r="B37" s="26" t="s">
        <v>371</v>
      </c>
      <c r="C37" s="26" t="s">
        <v>94</v>
      </c>
      <c r="D37" s="15" t="n">
        <v>0</v>
      </c>
      <c r="E37" s="26" t="str">
        <f aca="false">IF(D37="","No Data",IF(D37&gt;=$K$2,"Tier A (Top 15%)",IF(D37&gt;=$K$3,"Tier B (Top 40%)",IF(D37&gt;=$K$4,"Tier C (Top 70%)","Tier D (Bottom 30%)"))))</f>
        <v>Tier C (Top 70%)</v>
      </c>
      <c r="F37" s="27" t="n">
        <f aca="false">VLOOKUP(E37,'Bid Tiers (Relative Volume)'!$A$5:$C$9,3,FALSE())</f>
        <v>0.65</v>
      </c>
      <c r="G37" s="14"/>
    </row>
    <row r="38" customFormat="false" ht="15" hidden="false" customHeight="false" outlineLevel="0" collapsed="false">
      <c r="A38" s="25" t="s">
        <v>41</v>
      </c>
      <c r="B38" s="26" t="s">
        <v>372</v>
      </c>
      <c r="C38" s="26" t="s">
        <v>94</v>
      </c>
      <c r="D38" s="15" t="n">
        <v>0</v>
      </c>
      <c r="E38" s="26" t="str">
        <f aca="false">IF(D38="","No Data",IF(D38&gt;=$K$2,"Tier A (Top 15%)",IF(D38&gt;=$K$3,"Tier B (Top 40%)",IF(D38&gt;=$K$4,"Tier C (Top 70%)","Tier D (Bottom 30%)"))))</f>
        <v>Tier C (Top 70%)</v>
      </c>
      <c r="F38" s="27" t="n">
        <f aca="false">VLOOKUP(E38,'Bid Tiers (Relative Volume)'!$A$5:$C$9,3,FALSE())</f>
        <v>0.65</v>
      </c>
      <c r="G38" s="14"/>
    </row>
    <row r="39" customFormat="false" ht="15" hidden="false" customHeight="false" outlineLevel="0" collapsed="false">
      <c r="A39" s="25" t="s">
        <v>44</v>
      </c>
      <c r="B39" s="26" t="s">
        <v>373</v>
      </c>
      <c r="C39" s="26" t="s">
        <v>94</v>
      </c>
      <c r="D39" s="15" t="n">
        <v>0</v>
      </c>
      <c r="E39" s="26" t="str">
        <f aca="false">IF(D39="","No Data",IF(D39&gt;=$K$2,"Tier A (Top 15%)",IF(D39&gt;=$K$3,"Tier B (Top 40%)",IF(D39&gt;=$K$4,"Tier C (Top 70%)","Tier D (Bottom 30%)"))))</f>
        <v>Tier C (Top 70%)</v>
      </c>
      <c r="F39" s="27" t="n">
        <f aca="false">VLOOKUP(E39,'Bid Tiers (Relative Volume)'!$A$5:$C$9,3,FALSE())</f>
        <v>0.65</v>
      </c>
      <c r="G39" s="14"/>
    </row>
  </sheetData>
  <autoFilter ref="A3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247</v>
      </c>
    </row>
    <row r="3" customFormat="false" ht="26.85" hidden="false" customHeight="false" outlineLevel="0" collapsed="false">
      <c r="A3" s="6" t="s">
        <v>17</v>
      </c>
      <c r="B3" s="6" t="s">
        <v>88</v>
      </c>
      <c r="C3" s="6" t="s">
        <v>89</v>
      </c>
      <c r="D3" s="6" t="s">
        <v>248</v>
      </c>
      <c r="E3" s="6" t="s">
        <v>58</v>
      </c>
      <c r="F3" s="6" t="s">
        <v>91</v>
      </c>
      <c r="G3" s="6" t="s">
        <v>20</v>
      </c>
    </row>
    <row r="4" customFormat="false" ht="15" hidden="false" customHeight="false" outlineLevel="0" collapsed="false">
      <c r="A4" s="7" t="s">
        <v>21</v>
      </c>
      <c r="B4" s="21" t="s">
        <v>93</v>
      </c>
      <c r="C4" s="21" t="s">
        <v>94</v>
      </c>
      <c r="D4" s="9" t="s">
        <v>95</v>
      </c>
      <c r="E4" s="21" t="s">
        <v>21</v>
      </c>
      <c r="F4" s="22" t="n">
        <v>0.3</v>
      </c>
      <c r="G4" s="8" t="s">
        <v>96</v>
      </c>
    </row>
    <row r="5" customFormat="false" ht="15" hidden="false" customHeight="false" outlineLevel="0" collapsed="false">
      <c r="A5" s="7" t="s">
        <v>21</v>
      </c>
      <c r="B5" s="21" t="s">
        <v>98</v>
      </c>
      <c r="C5" s="21" t="s">
        <v>94</v>
      </c>
      <c r="D5" s="9" t="s">
        <v>95</v>
      </c>
      <c r="E5" s="21" t="s">
        <v>21</v>
      </c>
      <c r="F5" s="22" t="n">
        <v>0.3</v>
      </c>
      <c r="G5" s="8" t="s">
        <v>96</v>
      </c>
    </row>
    <row r="6" customFormat="false" ht="15" hidden="false" customHeight="false" outlineLevel="0" collapsed="false">
      <c r="A6" s="7" t="s">
        <v>21</v>
      </c>
      <c r="B6" s="21" t="s">
        <v>99</v>
      </c>
      <c r="C6" s="21" t="s">
        <v>94</v>
      </c>
      <c r="D6" s="9" t="s">
        <v>95</v>
      </c>
      <c r="E6" s="21" t="s">
        <v>21</v>
      </c>
      <c r="F6" s="22" t="n">
        <v>0.3</v>
      </c>
      <c r="G6" s="8" t="s">
        <v>100</v>
      </c>
    </row>
    <row r="7" customFormat="false" ht="23.85" hidden="false" customHeight="false" outlineLevel="0" collapsed="false">
      <c r="A7" s="10" t="s">
        <v>25</v>
      </c>
      <c r="B7" s="23" t="s">
        <v>101</v>
      </c>
      <c r="C7" s="23" t="s">
        <v>19</v>
      </c>
      <c r="D7" s="12" t="s">
        <v>95</v>
      </c>
      <c r="E7" s="12" t="s">
        <v>95</v>
      </c>
      <c r="F7" s="24" t="n">
        <v>0.4</v>
      </c>
      <c r="G7" s="11" t="s">
        <v>102</v>
      </c>
    </row>
    <row r="8" customFormat="false" ht="15" hidden="false" customHeight="false" outlineLevel="0" collapsed="false">
      <c r="A8" s="25" t="s">
        <v>29</v>
      </c>
      <c r="B8" s="26" t="s">
        <v>190</v>
      </c>
      <c r="C8" s="26" t="s">
        <v>94</v>
      </c>
      <c r="D8" s="15"/>
      <c r="E8" s="26" t="str">
        <f aca="false">IF(D8="","No Data",INDEX('Bid Tiers (Popularity Score)'!$A$4:$A$7,MATCH(D8,'Bid Tiers (Popularity Score)'!$B$4:$B$7,1)))</f>
        <v>No Data</v>
      </c>
      <c r="F8" s="27" t="n">
        <f aca="false">IF(D8="",0.25,INDEX('Bid Tiers (Popularity Score)'!$E$4:$E$7,MATCH(D8,'Bid Tiers (Popularity Score)'!$B$4:$B$7,1)))</f>
        <v>0.25</v>
      </c>
      <c r="G8" s="14"/>
    </row>
    <row r="9" customFormat="false" ht="15" hidden="false" customHeight="false" outlineLevel="0" collapsed="false">
      <c r="A9" s="25" t="s">
        <v>29</v>
      </c>
      <c r="B9" s="26" t="s">
        <v>155</v>
      </c>
      <c r="C9" s="26" t="s">
        <v>94</v>
      </c>
      <c r="D9" s="15"/>
      <c r="E9" s="26" t="str">
        <f aca="false">IF(D9="","No Data",INDEX('Bid Tiers (Popularity Score)'!$A$4:$A$7,MATCH(D9,'Bid Tiers (Popularity Score)'!$B$4:$B$7,1)))</f>
        <v>No Data</v>
      </c>
      <c r="F9" s="27" t="n">
        <f aca="false">IF(D9="",0.25,INDEX('Bid Tiers (Popularity Score)'!$E$4:$E$7,MATCH(D9,'Bid Tiers (Popularity Score)'!$B$4:$B$7,1)))</f>
        <v>0.25</v>
      </c>
      <c r="G9" s="14"/>
    </row>
    <row r="10" customFormat="false" ht="23.85" hidden="false" customHeight="false" outlineLevel="0" collapsed="false">
      <c r="A10" s="25" t="s">
        <v>29</v>
      </c>
      <c r="B10" s="26" t="s">
        <v>375</v>
      </c>
      <c r="C10" s="26" t="s">
        <v>94</v>
      </c>
      <c r="D10" s="15" t="n">
        <v>0</v>
      </c>
      <c r="E10" s="26" t="str">
        <f aca="false">IF(D10="","No Data",INDEX('Bid Tiers (Popularity Score)'!$A$4:$A$7,MATCH(D10,'Bid Tiers (Popularity Score)'!$B$4:$B$7,1)))</f>
        <v>Tier D — Below Threshold (&lt;5)</v>
      </c>
      <c r="F10" s="27" t="n">
        <f aca="false">IF(D10="",0.25,INDEX('Bid Tiers (Popularity Score)'!$E$4:$E$7,MATCH(D10,'Bid Tiers (Popularity Score)'!$B$4:$B$7,1)))</f>
        <v>0.5</v>
      </c>
      <c r="G10" s="14" t="s">
        <v>376</v>
      </c>
    </row>
    <row r="11" customFormat="false" ht="15" hidden="false" customHeight="false" outlineLevel="0" collapsed="false">
      <c r="A11" s="25" t="s">
        <v>32</v>
      </c>
      <c r="B11" s="26" t="s">
        <v>249</v>
      </c>
      <c r="C11" s="26" t="s">
        <v>94</v>
      </c>
      <c r="D11" s="15"/>
      <c r="E11" s="26" t="str">
        <f aca="false">IF(D11="","No Data",INDEX('Bid Tiers (Popularity Score)'!$A$4:$A$7,MATCH(D11,'Bid Tiers (Popularity Score)'!$B$4:$B$7,1)))</f>
        <v>No Data</v>
      </c>
      <c r="F11" s="27" t="n">
        <f aca="false">IF(D11="",0.25,INDEX('Bid Tiers (Popularity Score)'!$E$4:$E$7,MATCH(D11,'Bid Tiers (Popularity Score)'!$B$4:$B$7,1)))</f>
        <v>0.25</v>
      </c>
      <c r="G11" s="14"/>
    </row>
    <row r="12" customFormat="false" ht="23.85" hidden="false" customHeight="false" outlineLevel="0" collapsed="false">
      <c r="A12" s="25" t="s">
        <v>32</v>
      </c>
      <c r="B12" s="26" t="s">
        <v>377</v>
      </c>
      <c r="C12" s="26" t="s">
        <v>94</v>
      </c>
      <c r="D12" s="15"/>
      <c r="E12" s="26" t="str">
        <f aca="false">IF(D12="","No Data",INDEX('Bid Tiers (Popularity Score)'!$A$4:$A$7,MATCH(D12,'Bid Tiers (Popularity Score)'!$B$4:$B$7,1)))</f>
        <v>No Data</v>
      </c>
      <c r="F12" s="27" t="n">
        <f aca="false">IF(D12="",0.25,INDEX('Bid Tiers (Popularity Score)'!$E$4:$E$7,MATCH(D12,'Bid Tiers (Popularity Score)'!$B$4:$B$7,1)))</f>
        <v>0.25</v>
      </c>
      <c r="G12" s="14" t="s">
        <v>378</v>
      </c>
    </row>
    <row r="13" customFormat="false" ht="15" hidden="false" customHeight="false" outlineLevel="0" collapsed="false">
      <c r="A13" s="25" t="s">
        <v>32</v>
      </c>
      <c r="B13" s="26" t="s">
        <v>104</v>
      </c>
      <c r="C13" s="26" t="s">
        <v>94</v>
      </c>
      <c r="D13" s="15"/>
      <c r="E13" s="26" t="str">
        <f aca="false">IF(D13="","No Data",INDEX('Bid Tiers (Popularity Score)'!$A$4:$A$7,MATCH(D13,'Bid Tiers (Popularity Score)'!$B$4:$B$7,1)))</f>
        <v>No Data</v>
      </c>
      <c r="F13" s="27" t="n">
        <f aca="false">IF(D13="",0.25,INDEX('Bid Tiers (Popularity Score)'!$E$4:$E$7,MATCH(D13,'Bid Tiers (Popularity Score)'!$B$4:$B$7,1)))</f>
        <v>0.25</v>
      </c>
      <c r="G13" s="14"/>
    </row>
    <row r="14" customFormat="false" ht="15" hidden="false" customHeight="false" outlineLevel="0" collapsed="false">
      <c r="A14" s="25" t="s">
        <v>32</v>
      </c>
      <c r="B14" s="26" t="s">
        <v>114</v>
      </c>
      <c r="C14" s="26" t="s">
        <v>94</v>
      </c>
      <c r="D14" s="15"/>
      <c r="E14" s="26" t="str">
        <f aca="false">IF(D14="","No Data",INDEX('Bid Tiers (Popularity Score)'!$A$4:$A$7,MATCH(D14,'Bid Tiers (Popularity Score)'!$B$4:$B$7,1)))</f>
        <v>No Data</v>
      </c>
      <c r="F14" s="27" t="n">
        <f aca="false">IF(D14="",0.25,INDEX('Bid Tiers (Popularity Score)'!$E$4:$E$7,MATCH(D14,'Bid Tiers (Popularity Score)'!$B$4:$B$7,1)))</f>
        <v>0.25</v>
      </c>
      <c r="G14" s="14"/>
    </row>
    <row r="15" customFormat="false" ht="15" hidden="false" customHeight="false" outlineLevel="0" collapsed="false">
      <c r="A15" s="25" t="s">
        <v>32</v>
      </c>
      <c r="B15" s="26" t="s">
        <v>379</v>
      </c>
      <c r="C15" s="26" t="s">
        <v>94</v>
      </c>
      <c r="D15" s="15"/>
      <c r="E15" s="26" t="str">
        <f aca="false">IF(D15="","No Data",INDEX('Bid Tiers (Popularity Score)'!$A$4:$A$7,MATCH(D15,'Bid Tiers (Popularity Score)'!$B$4:$B$7,1)))</f>
        <v>No Data</v>
      </c>
      <c r="F15" s="27" t="n">
        <f aca="false">IF(D15="",0.25,INDEX('Bid Tiers (Popularity Score)'!$E$4:$E$7,MATCH(D15,'Bid Tiers (Popularity Score)'!$B$4:$B$7,1)))</f>
        <v>0.25</v>
      </c>
      <c r="G15" s="14"/>
    </row>
    <row r="16" customFormat="false" ht="15" hidden="false" customHeight="false" outlineLevel="0" collapsed="false">
      <c r="A16" s="25" t="s">
        <v>32</v>
      </c>
      <c r="B16" s="26" t="s">
        <v>221</v>
      </c>
      <c r="C16" s="26" t="s">
        <v>94</v>
      </c>
      <c r="D16" s="15"/>
      <c r="E16" s="26" t="str">
        <f aca="false">IF(D16="","No Data",INDEX('Bid Tiers (Popularity Score)'!$A$4:$A$7,MATCH(D16,'Bid Tiers (Popularity Score)'!$B$4:$B$7,1)))</f>
        <v>No Data</v>
      </c>
      <c r="F16" s="27" t="n">
        <f aca="false">IF(D16="",0.25,INDEX('Bid Tiers (Popularity Score)'!$E$4:$E$7,MATCH(D16,'Bid Tiers (Popularity Score)'!$B$4:$B$7,1)))</f>
        <v>0.25</v>
      </c>
      <c r="G16" s="14"/>
    </row>
    <row r="17" customFormat="false" ht="15" hidden="false" customHeight="false" outlineLevel="0" collapsed="false">
      <c r="A17" s="25" t="s">
        <v>32</v>
      </c>
      <c r="B17" s="26" t="s">
        <v>103</v>
      </c>
      <c r="C17" s="26" t="s">
        <v>94</v>
      </c>
      <c r="D17" s="15"/>
      <c r="E17" s="26" t="str">
        <f aca="false">IF(D17="","No Data",INDEX('Bid Tiers (Popularity Score)'!$A$4:$A$7,MATCH(D17,'Bid Tiers (Popularity Score)'!$B$4:$B$7,1)))</f>
        <v>No Data</v>
      </c>
      <c r="F17" s="27" t="n">
        <f aca="false">IF(D17="",0.25,INDEX('Bid Tiers (Popularity Score)'!$E$4:$E$7,MATCH(D17,'Bid Tiers (Popularity Score)'!$B$4:$B$7,1)))</f>
        <v>0.25</v>
      </c>
      <c r="G17" s="14"/>
    </row>
    <row r="18" customFormat="false" ht="15" hidden="false" customHeight="false" outlineLevel="0" collapsed="false">
      <c r="A18" s="25" t="s">
        <v>32</v>
      </c>
      <c r="B18" s="26" t="s">
        <v>109</v>
      </c>
      <c r="C18" s="26" t="s">
        <v>94</v>
      </c>
      <c r="D18" s="15"/>
      <c r="E18" s="26" t="str">
        <f aca="false">IF(D18="","No Data",INDEX('Bid Tiers (Popularity Score)'!$A$4:$A$7,MATCH(D18,'Bid Tiers (Popularity Score)'!$B$4:$B$7,1)))</f>
        <v>No Data</v>
      </c>
      <c r="F18" s="27" t="n">
        <f aca="false">IF(D18="",0.25,INDEX('Bid Tiers (Popularity Score)'!$E$4:$E$7,MATCH(D18,'Bid Tiers (Popularity Score)'!$B$4:$B$7,1)))</f>
        <v>0.25</v>
      </c>
      <c r="G18" s="14"/>
    </row>
    <row r="19" customFormat="false" ht="15" hidden="false" customHeight="false" outlineLevel="0" collapsed="false">
      <c r="A19" s="25" t="s">
        <v>32</v>
      </c>
      <c r="B19" s="26" t="s">
        <v>108</v>
      </c>
      <c r="C19" s="26" t="s">
        <v>94</v>
      </c>
      <c r="D19" s="15"/>
      <c r="E19" s="26" t="str">
        <f aca="false">IF(D19="","No Data",INDEX('Bid Tiers (Popularity Score)'!$A$4:$A$7,MATCH(D19,'Bid Tiers (Popularity Score)'!$B$4:$B$7,1)))</f>
        <v>No Data</v>
      </c>
      <c r="F19" s="27" t="n">
        <f aca="false">IF(D19="",0.25,INDEX('Bid Tiers (Popularity Score)'!$E$4:$E$7,MATCH(D19,'Bid Tiers (Popularity Score)'!$B$4:$B$7,1)))</f>
        <v>0.25</v>
      </c>
      <c r="G19" s="14"/>
    </row>
    <row r="20" customFormat="false" ht="15" hidden="false" customHeight="false" outlineLevel="0" collapsed="false">
      <c r="A20" s="25" t="s">
        <v>32</v>
      </c>
      <c r="B20" s="26" t="s">
        <v>380</v>
      </c>
      <c r="C20" s="26" t="s">
        <v>94</v>
      </c>
      <c r="D20" s="15"/>
      <c r="E20" s="26" t="str">
        <f aca="false">IF(D20="","No Data",INDEX('Bid Tiers (Popularity Score)'!$A$4:$A$7,MATCH(D20,'Bid Tiers (Popularity Score)'!$B$4:$B$7,1)))</f>
        <v>No Data</v>
      </c>
      <c r="F20" s="27" t="n">
        <f aca="false">IF(D20="",0.25,INDEX('Bid Tiers (Popularity Score)'!$E$4:$E$7,MATCH(D20,'Bid Tiers (Popularity Score)'!$B$4:$B$7,1)))</f>
        <v>0.25</v>
      </c>
      <c r="G20" s="14"/>
    </row>
    <row r="21" customFormat="false" ht="15" hidden="false" customHeight="false" outlineLevel="0" collapsed="false">
      <c r="A21" s="25" t="s">
        <v>32</v>
      </c>
      <c r="B21" s="26" t="s">
        <v>113</v>
      </c>
      <c r="C21" s="26" t="s">
        <v>94</v>
      </c>
      <c r="D21" s="15"/>
      <c r="E21" s="26" t="str">
        <f aca="false">IF(D21="","No Data",INDEX('Bid Tiers (Popularity Score)'!$A$4:$A$7,MATCH(D21,'Bid Tiers (Popularity Score)'!$B$4:$B$7,1)))</f>
        <v>No Data</v>
      </c>
      <c r="F21" s="27" t="n">
        <f aca="false">IF(D21="",0.25,INDEX('Bid Tiers (Popularity Score)'!$E$4:$E$7,MATCH(D21,'Bid Tiers (Popularity Score)'!$B$4:$B$7,1)))</f>
        <v>0.25</v>
      </c>
      <c r="G21" s="14"/>
    </row>
    <row r="22" customFormat="false" ht="15" hidden="false" customHeight="false" outlineLevel="0" collapsed="false">
      <c r="A22" s="25" t="s">
        <v>32</v>
      </c>
      <c r="B22" s="26" t="s">
        <v>106</v>
      </c>
      <c r="C22" s="26" t="s">
        <v>94</v>
      </c>
      <c r="D22" s="15"/>
      <c r="E22" s="26" t="str">
        <f aca="false">IF(D22="","No Data",INDEX('Bid Tiers (Popularity Score)'!$A$4:$A$7,MATCH(D22,'Bid Tiers (Popularity Score)'!$B$4:$B$7,1)))</f>
        <v>No Data</v>
      </c>
      <c r="F22" s="27" t="n">
        <f aca="false">IF(D22="",0.25,INDEX('Bid Tiers (Popularity Score)'!$E$4:$E$7,MATCH(D22,'Bid Tiers (Popularity Score)'!$B$4:$B$7,1)))</f>
        <v>0.25</v>
      </c>
      <c r="G22" s="14"/>
    </row>
    <row r="23" customFormat="false" ht="15" hidden="false" customHeight="false" outlineLevel="0" collapsed="false">
      <c r="A23" s="25" t="s">
        <v>32</v>
      </c>
      <c r="B23" s="26" t="s">
        <v>107</v>
      </c>
      <c r="C23" s="26" t="s">
        <v>94</v>
      </c>
      <c r="D23" s="15"/>
      <c r="E23" s="26" t="str">
        <f aca="false">IF(D23="","No Data",INDEX('Bid Tiers (Popularity Score)'!$A$4:$A$7,MATCH(D23,'Bid Tiers (Popularity Score)'!$B$4:$B$7,1)))</f>
        <v>No Data</v>
      </c>
      <c r="F23" s="27" t="n">
        <f aca="false">IF(D23="",0.25,INDEX('Bid Tiers (Popularity Score)'!$E$4:$E$7,MATCH(D23,'Bid Tiers (Popularity Score)'!$B$4:$B$7,1)))</f>
        <v>0.25</v>
      </c>
      <c r="G23" s="14"/>
    </row>
    <row r="24" customFormat="false" ht="15" hidden="false" customHeight="false" outlineLevel="0" collapsed="false">
      <c r="A24" s="25" t="s">
        <v>32</v>
      </c>
      <c r="B24" s="26" t="s">
        <v>261</v>
      </c>
      <c r="C24" s="26" t="s">
        <v>94</v>
      </c>
      <c r="D24" s="15"/>
      <c r="E24" s="26" t="str">
        <f aca="false">IF(D24="","No Data",INDEX('Bid Tiers (Popularity Score)'!$A$4:$A$7,MATCH(D24,'Bid Tiers (Popularity Score)'!$B$4:$B$7,1)))</f>
        <v>No Data</v>
      </c>
      <c r="F24" s="27" t="n">
        <f aca="false">IF(D24="",0.25,INDEX('Bid Tiers (Popularity Score)'!$E$4:$E$7,MATCH(D24,'Bid Tiers (Popularity Score)'!$B$4:$B$7,1)))</f>
        <v>0.25</v>
      </c>
      <c r="G24" s="14"/>
    </row>
    <row r="25" customFormat="false" ht="15" hidden="false" customHeight="false" outlineLevel="0" collapsed="false">
      <c r="A25" s="25" t="s">
        <v>32</v>
      </c>
      <c r="B25" s="26" t="s">
        <v>224</v>
      </c>
      <c r="C25" s="26" t="s">
        <v>94</v>
      </c>
      <c r="D25" s="15"/>
      <c r="E25" s="26" t="str">
        <f aca="false">IF(D25="","No Data",INDEX('Bid Tiers (Popularity Score)'!$A$4:$A$7,MATCH(D25,'Bid Tiers (Popularity Score)'!$B$4:$B$7,1)))</f>
        <v>No Data</v>
      </c>
      <c r="F25" s="27" t="n">
        <f aca="false">IF(D25="",0.25,INDEX('Bid Tiers (Popularity Score)'!$E$4:$E$7,MATCH(D25,'Bid Tiers (Popularity Score)'!$B$4:$B$7,1)))</f>
        <v>0.25</v>
      </c>
      <c r="G25" s="14"/>
    </row>
    <row r="26" customFormat="false" ht="15" hidden="false" customHeight="false" outlineLevel="0" collapsed="false">
      <c r="A26" s="25" t="s">
        <v>32</v>
      </c>
      <c r="B26" s="26" t="s">
        <v>111</v>
      </c>
      <c r="C26" s="26" t="s">
        <v>94</v>
      </c>
      <c r="D26" s="15"/>
      <c r="E26" s="26" t="str">
        <f aca="false">IF(D26="","No Data",INDEX('Bid Tiers (Popularity Score)'!$A$4:$A$7,MATCH(D26,'Bid Tiers (Popularity Score)'!$B$4:$B$7,1)))</f>
        <v>No Data</v>
      </c>
      <c r="F26" s="27" t="n">
        <f aca="false">IF(D26="",0.25,INDEX('Bid Tiers (Popularity Score)'!$E$4:$E$7,MATCH(D26,'Bid Tiers (Popularity Score)'!$B$4:$B$7,1)))</f>
        <v>0.25</v>
      </c>
      <c r="G26" s="14"/>
    </row>
    <row r="27" customFormat="false" ht="15" hidden="false" customHeight="false" outlineLevel="0" collapsed="false">
      <c r="A27" s="25" t="s">
        <v>32</v>
      </c>
      <c r="B27" s="26" t="s">
        <v>223</v>
      </c>
      <c r="C27" s="26" t="s">
        <v>94</v>
      </c>
      <c r="D27" s="15"/>
      <c r="E27" s="26" t="str">
        <f aca="false">IF(D27="","No Data",INDEX('Bid Tiers (Popularity Score)'!$A$4:$A$7,MATCH(D27,'Bid Tiers (Popularity Score)'!$B$4:$B$7,1)))</f>
        <v>No Data</v>
      </c>
      <c r="F27" s="27" t="n">
        <f aca="false">IF(D27="",0.25,INDEX('Bid Tiers (Popularity Score)'!$E$4:$E$7,MATCH(D27,'Bid Tiers (Popularity Score)'!$B$4:$B$7,1)))</f>
        <v>0.25</v>
      </c>
      <c r="G27" s="14"/>
    </row>
    <row r="28" customFormat="false" ht="15" hidden="false" customHeight="false" outlineLevel="0" collapsed="false">
      <c r="A28" s="25" t="s">
        <v>32</v>
      </c>
      <c r="B28" s="26" t="s">
        <v>381</v>
      </c>
      <c r="C28" s="26" t="s">
        <v>94</v>
      </c>
      <c r="D28" s="15"/>
      <c r="E28" s="26" t="str">
        <f aca="false">IF(D28="","No Data",INDEX('Bid Tiers (Popularity Score)'!$A$4:$A$7,MATCH(D28,'Bid Tiers (Popularity Score)'!$B$4:$B$7,1)))</f>
        <v>No Data</v>
      </c>
      <c r="F28" s="27" t="n">
        <f aca="false">IF(D28="",0.25,INDEX('Bid Tiers (Popularity Score)'!$E$4:$E$7,MATCH(D28,'Bid Tiers (Popularity Score)'!$B$4:$B$7,1)))</f>
        <v>0.25</v>
      </c>
      <c r="G28" s="14"/>
    </row>
    <row r="29" customFormat="false" ht="15" hidden="false" customHeight="false" outlineLevel="0" collapsed="false">
      <c r="A29" s="25" t="s">
        <v>32</v>
      </c>
      <c r="B29" s="26" t="s">
        <v>220</v>
      </c>
      <c r="C29" s="26" t="s">
        <v>94</v>
      </c>
      <c r="D29" s="15"/>
      <c r="E29" s="26" t="str">
        <f aca="false">IF(D29="","No Data",INDEX('Bid Tiers (Popularity Score)'!$A$4:$A$7,MATCH(D29,'Bid Tiers (Popularity Score)'!$B$4:$B$7,1)))</f>
        <v>No Data</v>
      </c>
      <c r="F29" s="27" t="n">
        <f aca="false">IF(D29="",0.25,INDEX('Bid Tiers (Popularity Score)'!$E$4:$E$7,MATCH(D29,'Bid Tiers (Popularity Score)'!$B$4:$B$7,1)))</f>
        <v>0.25</v>
      </c>
      <c r="G29" s="14"/>
    </row>
    <row r="30" customFormat="false" ht="15" hidden="false" customHeight="false" outlineLevel="0" collapsed="false">
      <c r="A30" s="25" t="s">
        <v>32</v>
      </c>
      <c r="B30" s="26" t="s">
        <v>105</v>
      </c>
      <c r="C30" s="26" t="s">
        <v>94</v>
      </c>
      <c r="D30" s="15"/>
      <c r="E30" s="26" t="str">
        <f aca="false">IF(D30="","No Data",INDEX('Bid Tiers (Popularity Score)'!$A$4:$A$7,MATCH(D30,'Bid Tiers (Popularity Score)'!$B$4:$B$7,1)))</f>
        <v>No Data</v>
      </c>
      <c r="F30" s="27" t="n">
        <f aca="false">IF(D30="",0.25,INDEX('Bid Tiers (Popularity Score)'!$E$4:$E$7,MATCH(D30,'Bid Tiers (Popularity Score)'!$B$4:$B$7,1)))</f>
        <v>0.25</v>
      </c>
      <c r="G30" s="14"/>
    </row>
    <row r="31" customFormat="false" ht="15" hidden="false" customHeight="false" outlineLevel="0" collapsed="false">
      <c r="A31" s="25" t="s">
        <v>32</v>
      </c>
      <c r="B31" s="26" t="s">
        <v>115</v>
      </c>
      <c r="C31" s="26" t="s">
        <v>94</v>
      </c>
      <c r="D31" s="15"/>
      <c r="E31" s="26" t="str">
        <f aca="false">IF(D31="","No Data",INDEX('Bid Tiers (Popularity Score)'!$A$4:$A$7,MATCH(D31,'Bid Tiers (Popularity Score)'!$B$4:$B$7,1)))</f>
        <v>No Data</v>
      </c>
      <c r="F31" s="27" t="n">
        <f aca="false">IF(D31="",0.25,INDEX('Bid Tiers (Popularity Score)'!$E$4:$E$7,MATCH(D31,'Bid Tiers (Popularity Score)'!$B$4:$B$7,1)))</f>
        <v>0.25</v>
      </c>
      <c r="G31" s="14"/>
    </row>
    <row r="32" customFormat="false" ht="15" hidden="false" customHeight="false" outlineLevel="0" collapsed="false">
      <c r="A32" s="25" t="s">
        <v>32</v>
      </c>
      <c r="B32" s="26" t="s">
        <v>112</v>
      </c>
      <c r="C32" s="26" t="s">
        <v>94</v>
      </c>
      <c r="D32" s="15"/>
      <c r="E32" s="26" t="str">
        <f aca="false">IF(D32="","No Data",INDEX('Bid Tiers (Popularity Score)'!$A$4:$A$7,MATCH(D32,'Bid Tiers (Popularity Score)'!$B$4:$B$7,1)))</f>
        <v>No Data</v>
      </c>
      <c r="F32" s="27" t="n">
        <f aca="false">IF(D32="",0.25,INDEX('Bid Tiers (Popularity Score)'!$E$4:$E$7,MATCH(D32,'Bid Tiers (Popularity Score)'!$B$4:$B$7,1)))</f>
        <v>0.25</v>
      </c>
      <c r="G32" s="14"/>
    </row>
    <row r="33" customFormat="false" ht="15" hidden="false" customHeight="false" outlineLevel="0" collapsed="false">
      <c r="A33" s="25" t="s">
        <v>32</v>
      </c>
      <c r="B33" s="26" t="s">
        <v>110</v>
      </c>
      <c r="C33" s="26" t="s">
        <v>94</v>
      </c>
      <c r="D33" s="15"/>
      <c r="E33" s="26" t="str">
        <f aca="false">IF(D33="","No Data",INDEX('Bid Tiers (Popularity Score)'!$A$4:$A$7,MATCH(D33,'Bid Tiers (Popularity Score)'!$B$4:$B$7,1)))</f>
        <v>No Data</v>
      </c>
      <c r="F33" s="27" t="n">
        <f aca="false">IF(D33="",0.25,INDEX('Bid Tiers (Popularity Score)'!$E$4:$E$7,MATCH(D33,'Bid Tiers (Popularity Score)'!$B$4:$B$7,1)))</f>
        <v>0.25</v>
      </c>
      <c r="G33" s="14"/>
    </row>
    <row r="34" customFormat="false" ht="15" hidden="false" customHeight="false" outlineLevel="0" collapsed="false">
      <c r="A34" s="25" t="s">
        <v>32</v>
      </c>
      <c r="B34" s="26" t="s">
        <v>262</v>
      </c>
      <c r="C34" s="26" t="s">
        <v>94</v>
      </c>
      <c r="D34" s="15" t="n">
        <v>0</v>
      </c>
      <c r="E34" s="26" t="str">
        <f aca="false">IF(D34="","No Data",INDEX('Bid Tiers (Popularity Score)'!$A$4:$A$7,MATCH(D34,'Bid Tiers (Popularity Score)'!$B$4:$B$7,1)))</f>
        <v>Tier D — Below Threshold (&lt;5)</v>
      </c>
      <c r="F34" s="27" t="n">
        <f aca="false">IF(D34="",0.25,INDEX('Bid Tiers (Popularity Score)'!$E$4:$E$7,MATCH(D34,'Bid Tiers (Popularity Score)'!$B$4:$B$7,1)))</f>
        <v>0.5</v>
      </c>
      <c r="G34" s="14"/>
    </row>
    <row r="35" customFormat="false" ht="15" hidden="false" customHeight="false" outlineLevel="0" collapsed="false">
      <c r="A35" s="25" t="s">
        <v>32</v>
      </c>
      <c r="B35" s="26" t="s">
        <v>263</v>
      </c>
      <c r="C35" s="26" t="s">
        <v>94</v>
      </c>
      <c r="D35" s="15"/>
      <c r="E35" s="26" t="str">
        <f aca="false">IF(D35="","No Data",INDEX('Bid Tiers (Popularity Score)'!$A$4:$A$7,MATCH(D35,'Bid Tiers (Popularity Score)'!$B$4:$B$7,1)))</f>
        <v>No Data</v>
      </c>
      <c r="F35" s="27" t="n">
        <f aca="false">IF(D35="",0.25,INDEX('Bid Tiers (Popularity Score)'!$E$4:$E$7,MATCH(D35,'Bid Tiers (Popularity Score)'!$B$4:$B$7,1)))</f>
        <v>0.25</v>
      </c>
      <c r="G35" s="14"/>
    </row>
    <row r="36" customFormat="false" ht="15" hidden="false" customHeight="false" outlineLevel="0" collapsed="false">
      <c r="A36" s="25" t="s">
        <v>32</v>
      </c>
      <c r="B36" s="26" t="s">
        <v>264</v>
      </c>
      <c r="C36" s="26" t="s">
        <v>94</v>
      </c>
      <c r="D36" s="15" t="n">
        <v>0</v>
      </c>
      <c r="E36" s="26" t="str">
        <f aca="false">IF(D36="","No Data",INDEX('Bid Tiers (Popularity Score)'!$A$4:$A$7,MATCH(D36,'Bid Tiers (Popularity Score)'!$B$4:$B$7,1)))</f>
        <v>Tier D — Below Threshold (&lt;5)</v>
      </c>
      <c r="F36" s="27" t="n">
        <f aca="false">IF(D36="",0.25,INDEX('Bid Tiers (Popularity Score)'!$E$4:$E$7,MATCH(D36,'Bid Tiers (Popularity Score)'!$B$4:$B$7,1)))</f>
        <v>0.5</v>
      </c>
      <c r="G36" s="14"/>
    </row>
    <row r="37" customFormat="false" ht="15" hidden="false" customHeight="false" outlineLevel="0" collapsed="false">
      <c r="A37" s="25" t="s">
        <v>32</v>
      </c>
      <c r="B37" s="26" t="s">
        <v>382</v>
      </c>
      <c r="C37" s="26" t="s">
        <v>94</v>
      </c>
      <c r="D37" s="15"/>
      <c r="E37" s="26" t="str">
        <f aca="false">IF(D37="","No Data",INDEX('Bid Tiers (Popularity Score)'!$A$4:$A$7,MATCH(D37,'Bid Tiers (Popularity Score)'!$B$4:$B$7,1)))</f>
        <v>No Data</v>
      </c>
      <c r="F37" s="27" t="n">
        <f aca="false">IF(D37="",0.25,INDEX('Bid Tiers (Popularity Score)'!$E$4:$E$7,MATCH(D37,'Bid Tiers (Popularity Score)'!$B$4:$B$7,1)))</f>
        <v>0.25</v>
      </c>
      <c r="G37" s="14"/>
    </row>
    <row r="38" customFormat="false" ht="15" hidden="false" customHeight="false" outlineLevel="0" collapsed="false">
      <c r="A38" s="25" t="s">
        <v>32</v>
      </c>
      <c r="B38" s="26" t="s">
        <v>116</v>
      </c>
      <c r="C38" s="26" t="s">
        <v>94</v>
      </c>
      <c r="D38" s="15" t="n">
        <v>0</v>
      </c>
      <c r="E38" s="26" t="str">
        <f aca="false">IF(D38="","No Data",INDEX('Bid Tiers (Popularity Score)'!$A$4:$A$7,MATCH(D38,'Bid Tiers (Popularity Score)'!$B$4:$B$7,1)))</f>
        <v>Tier D — Below Threshold (&lt;5)</v>
      </c>
      <c r="F38" s="27" t="n">
        <f aca="false">IF(D38="",0.25,INDEX('Bid Tiers (Popularity Score)'!$E$4:$E$7,MATCH(D38,'Bid Tiers (Popularity Score)'!$B$4:$B$7,1)))</f>
        <v>0.5</v>
      </c>
      <c r="G38" s="14"/>
    </row>
    <row r="39" customFormat="false" ht="15" hidden="false" customHeight="false" outlineLevel="0" collapsed="false">
      <c r="A39" s="25" t="s">
        <v>35</v>
      </c>
      <c r="B39" s="26" t="s">
        <v>118</v>
      </c>
      <c r="C39" s="26" t="s">
        <v>94</v>
      </c>
      <c r="D39" s="15"/>
      <c r="E39" s="26" t="str">
        <f aca="false">IF(D39="","No Data",INDEX('Bid Tiers (Popularity Score)'!$A$4:$A$7,MATCH(D39,'Bid Tiers (Popularity Score)'!$B$4:$B$7,1)))</f>
        <v>No Data</v>
      </c>
      <c r="F39" s="27" t="n">
        <f aca="false">IF(D39="",0.25,INDEX('Bid Tiers (Popularity Score)'!$E$4:$E$7,MATCH(D39,'Bid Tiers (Popularity Score)'!$B$4:$B$7,1)))</f>
        <v>0.25</v>
      </c>
      <c r="G39" s="14"/>
    </row>
    <row r="40" customFormat="false" ht="15" hidden="false" customHeight="false" outlineLevel="0" collapsed="false">
      <c r="A40" s="25" t="s">
        <v>35</v>
      </c>
      <c r="B40" s="26" t="s">
        <v>383</v>
      </c>
      <c r="C40" s="26" t="s">
        <v>94</v>
      </c>
      <c r="D40" s="15"/>
      <c r="E40" s="26" t="str">
        <f aca="false">IF(D40="","No Data",INDEX('Bid Tiers (Popularity Score)'!$A$4:$A$7,MATCH(D40,'Bid Tiers (Popularity Score)'!$B$4:$B$7,1)))</f>
        <v>No Data</v>
      </c>
      <c r="F40" s="27" t="n">
        <f aca="false">IF(D40="",0.25,INDEX('Bid Tiers (Popularity Score)'!$E$4:$E$7,MATCH(D40,'Bid Tiers (Popularity Score)'!$B$4:$B$7,1)))</f>
        <v>0.25</v>
      </c>
      <c r="G40" s="14"/>
    </row>
    <row r="41" customFormat="false" ht="15" hidden="false" customHeight="false" outlineLevel="0" collapsed="false">
      <c r="A41" s="25" t="s">
        <v>35</v>
      </c>
      <c r="B41" s="26" t="s">
        <v>121</v>
      </c>
      <c r="C41" s="26" t="s">
        <v>94</v>
      </c>
      <c r="D41" s="15"/>
      <c r="E41" s="26" t="str">
        <f aca="false">IF(D41="","No Data",INDEX('Bid Tiers (Popularity Score)'!$A$4:$A$7,MATCH(D41,'Bid Tiers (Popularity Score)'!$B$4:$B$7,1)))</f>
        <v>No Data</v>
      </c>
      <c r="F41" s="27" t="n">
        <f aca="false">IF(D41="",0.25,INDEX('Bid Tiers (Popularity Score)'!$E$4:$E$7,MATCH(D41,'Bid Tiers (Popularity Score)'!$B$4:$B$7,1)))</f>
        <v>0.25</v>
      </c>
      <c r="G41" s="14"/>
    </row>
    <row r="42" customFormat="false" ht="15" hidden="false" customHeight="false" outlineLevel="0" collapsed="false">
      <c r="A42" s="25" t="s">
        <v>35</v>
      </c>
      <c r="B42" s="26" t="s">
        <v>117</v>
      </c>
      <c r="C42" s="26" t="s">
        <v>94</v>
      </c>
      <c r="D42" s="15"/>
      <c r="E42" s="26" t="str">
        <f aca="false">IF(D42="","No Data",INDEX('Bid Tiers (Popularity Score)'!$A$4:$A$7,MATCH(D42,'Bid Tiers (Popularity Score)'!$B$4:$B$7,1)))</f>
        <v>No Data</v>
      </c>
      <c r="F42" s="27" t="n">
        <f aca="false">IF(D42="",0.25,INDEX('Bid Tiers (Popularity Score)'!$E$4:$E$7,MATCH(D42,'Bid Tiers (Popularity Score)'!$B$4:$B$7,1)))</f>
        <v>0.25</v>
      </c>
      <c r="G42" s="14"/>
    </row>
    <row r="43" customFormat="false" ht="15" hidden="false" customHeight="false" outlineLevel="0" collapsed="false">
      <c r="A43" s="25" t="s">
        <v>35</v>
      </c>
      <c r="B43" s="26" t="s">
        <v>120</v>
      </c>
      <c r="C43" s="26" t="s">
        <v>94</v>
      </c>
      <c r="D43" s="15"/>
      <c r="E43" s="26" t="str">
        <f aca="false">IF(D43="","No Data",INDEX('Bid Tiers (Popularity Score)'!$A$4:$A$7,MATCH(D43,'Bid Tiers (Popularity Score)'!$B$4:$B$7,1)))</f>
        <v>No Data</v>
      </c>
      <c r="F43" s="27" t="n">
        <f aca="false">IF(D43="",0.25,INDEX('Bid Tiers (Popularity Score)'!$E$4:$E$7,MATCH(D43,'Bid Tiers (Popularity Score)'!$B$4:$B$7,1)))</f>
        <v>0.25</v>
      </c>
      <c r="G43" s="14"/>
    </row>
    <row r="44" customFormat="false" ht="15" hidden="false" customHeight="false" outlineLevel="0" collapsed="false">
      <c r="A44" s="25" t="s">
        <v>35</v>
      </c>
      <c r="B44" s="26" t="s">
        <v>119</v>
      </c>
      <c r="C44" s="26" t="s">
        <v>94</v>
      </c>
      <c r="D44" s="15"/>
      <c r="E44" s="26" t="str">
        <f aca="false">IF(D44="","No Data",INDEX('Bid Tiers (Popularity Score)'!$A$4:$A$7,MATCH(D44,'Bid Tiers (Popularity Score)'!$B$4:$B$7,1)))</f>
        <v>No Data</v>
      </c>
      <c r="F44" s="27" t="n">
        <f aca="false">IF(D44="",0.25,INDEX('Bid Tiers (Popularity Score)'!$E$4:$E$7,MATCH(D44,'Bid Tiers (Popularity Score)'!$B$4:$B$7,1)))</f>
        <v>0.25</v>
      </c>
      <c r="G44" s="14"/>
    </row>
    <row r="45" customFormat="false" ht="15" hidden="false" customHeight="false" outlineLevel="0" collapsed="false">
      <c r="A45" s="25" t="s">
        <v>35</v>
      </c>
      <c r="B45" s="26" t="s">
        <v>166</v>
      </c>
      <c r="C45" s="26" t="s">
        <v>94</v>
      </c>
      <c r="D45" s="15"/>
      <c r="E45" s="26" t="str">
        <f aca="false">IF(D45="","No Data",INDEX('Bid Tiers (Popularity Score)'!$A$4:$A$7,MATCH(D45,'Bid Tiers (Popularity Score)'!$B$4:$B$7,1)))</f>
        <v>No Data</v>
      </c>
      <c r="F45" s="27" t="n">
        <f aca="false">IF(D45="",0.25,INDEX('Bid Tiers (Popularity Score)'!$E$4:$E$7,MATCH(D45,'Bid Tiers (Popularity Score)'!$B$4:$B$7,1)))</f>
        <v>0.25</v>
      </c>
      <c r="G45" s="14"/>
    </row>
    <row r="46" customFormat="false" ht="15" hidden="false" customHeight="false" outlineLevel="0" collapsed="false">
      <c r="A46" s="25" t="s">
        <v>35</v>
      </c>
      <c r="B46" s="26" t="s">
        <v>384</v>
      </c>
      <c r="C46" s="26" t="s">
        <v>94</v>
      </c>
      <c r="D46" s="15"/>
      <c r="E46" s="26" t="str">
        <f aca="false">IF(D46="","No Data",INDEX('Bid Tiers (Popularity Score)'!$A$4:$A$7,MATCH(D46,'Bid Tiers (Popularity Score)'!$B$4:$B$7,1)))</f>
        <v>No Data</v>
      </c>
      <c r="F46" s="27" t="n">
        <f aca="false">IF(D46="",0.25,INDEX('Bid Tiers (Popularity Score)'!$E$4:$E$7,MATCH(D46,'Bid Tiers (Popularity Score)'!$B$4:$B$7,1)))</f>
        <v>0.25</v>
      </c>
      <c r="G46" s="14"/>
    </row>
    <row r="47" customFormat="false" ht="15" hidden="false" customHeight="false" outlineLevel="0" collapsed="false">
      <c r="A47" s="25" t="s">
        <v>35</v>
      </c>
      <c r="B47" s="26" t="s">
        <v>123</v>
      </c>
      <c r="C47" s="26" t="s">
        <v>94</v>
      </c>
      <c r="D47" s="15"/>
      <c r="E47" s="26" t="str">
        <f aca="false">IF(D47="","No Data",INDEX('Bid Tiers (Popularity Score)'!$A$4:$A$7,MATCH(D47,'Bid Tiers (Popularity Score)'!$B$4:$B$7,1)))</f>
        <v>No Data</v>
      </c>
      <c r="F47" s="27" t="n">
        <f aca="false">IF(D47="",0.25,INDEX('Bid Tiers (Popularity Score)'!$E$4:$E$7,MATCH(D47,'Bid Tiers (Popularity Score)'!$B$4:$B$7,1)))</f>
        <v>0.25</v>
      </c>
      <c r="G47" s="14"/>
    </row>
    <row r="48" customFormat="false" ht="15" hidden="false" customHeight="false" outlineLevel="0" collapsed="false">
      <c r="A48" s="25" t="s">
        <v>35</v>
      </c>
      <c r="B48" s="26" t="s">
        <v>385</v>
      </c>
      <c r="C48" s="26" t="s">
        <v>94</v>
      </c>
      <c r="D48" s="15"/>
      <c r="E48" s="26" t="str">
        <f aca="false">IF(D48="","No Data",INDEX('Bid Tiers (Popularity Score)'!$A$4:$A$7,MATCH(D48,'Bid Tiers (Popularity Score)'!$B$4:$B$7,1)))</f>
        <v>No Data</v>
      </c>
      <c r="F48" s="27" t="n">
        <f aca="false">IF(D48="",0.25,INDEX('Bid Tiers (Popularity Score)'!$E$4:$E$7,MATCH(D48,'Bid Tiers (Popularity Score)'!$B$4:$B$7,1)))</f>
        <v>0.25</v>
      </c>
      <c r="G48" s="14"/>
    </row>
    <row r="49" customFormat="false" ht="15" hidden="false" customHeight="false" outlineLevel="0" collapsed="false">
      <c r="A49" s="25" t="s">
        <v>35</v>
      </c>
      <c r="B49" s="26" t="s">
        <v>128</v>
      </c>
      <c r="C49" s="26" t="s">
        <v>94</v>
      </c>
      <c r="D49" s="15"/>
      <c r="E49" s="26" t="str">
        <f aca="false">IF(D49="","No Data",INDEX('Bid Tiers (Popularity Score)'!$A$4:$A$7,MATCH(D49,'Bid Tiers (Popularity Score)'!$B$4:$B$7,1)))</f>
        <v>No Data</v>
      </c>
      <c r="F49" s="27" t="n">
        <f aca="false">IF(D49="",0.25,INDEX('Bid Tiers (Popularity Score)'!$E$4:$E$7,MATCH(D49,'Bid Tiers (Popularity Score)'!$B$4:$B$7,1)))</f>
        <v>0.25</v>
      </c>
      <c r="G49" s="14"/>
    </row>
    <row r="50" customFormat="false" ht="15" hidden="false" customHeight="false" outlineLevel="0" collapsed="false">
      <c r="A50" s="25" t="s">
        <v>35</v>
      </c>
      <c r="B50" s="26" t="s">
        <v>122</v>
      </c>
      <c r="C50" s="26" t="s">
        <v>94</v>
      </c>
      <c r="D50" s="15" t="n">
        <v>0</v>
      </c>
      <c r="E50" s="26" t="str">
        <f aca="false">IF(D50="","No Data",INDEX('Bid Tiers (Popularity Score)'!$A$4:$A$7,MATCH(D50,'Bid Tiers (Popularity Score)'!$B$4:$B$7,1)))</f>
        <v>Tier D — Below Threshold (&lt;5)</v>
      </c>
      <c r="F50" s="27" t="n">
        <f aca="false">IF(D50="",0.25,INDEX('Bid Tiers (Popularity Score)'!$E$4:$E$7,MATCH(D50,'Bid Tiers (Popularity Score)'!$B$4:$B$7,1)))</f>
        <v>0.5</v>
      </c>
      <c r="G50" s="14"/>
    </row>
    <row r="51" customFormat="false" ht="15" hidden="false" customHeight="false" outlineLevel="0" collapsed="false">
      <c r="A51" s="25" t="s">
        <v>35</v>
      </c>
      <c r="B51" s="26" t="s">
        <v>386</v>
      </c>
      <c r="C51" s="26" t="s">
        <v>94</v>
      </c>
      <c r="D51" s="15"/>
      <c r="E51" s="26" t="str">
        <f aca="false">IF(D51="","No Data",INDEX('Bid Tiers (Popularity Score)'!$A$4:$A$7,MATCH(D51,'Bid Tiers (Popularity Score)'!$B$4:$B$7,1)))</f>
        <v>No Data</v>
      </c>
      <c r="F51" s="27" t="n">
        <f aca="false">IF(D51="",0.25,INDEX('Bid Tiers (Popularity Score)'!$E$4:$E$7,MATCH(D51,'Bid Tiers (Popularity Score)'!$B$4:$B$7,1)))</f>
        <v>0.25</v>
      </c>
      <c r="G51" s="14"/>
    </row>
    <row r="52" customFormat="false" ht="15" hidden="false" customHeight="false" outlineLevel="0" collapsed="false">
      <c r="A52" s="25" t="s">
        <v>35</v>
      </c>
      <c r="B52" s="26" t="s">
        <v>265</v>
      </c>
      <c r="C52" s="26" t="s">
        <v>94</v>
      </c>
      <c r="D52" s="15"/>
      <c r="E52" s="26" t="str">
        <f aca="false">IF(D52="","No Data",INDEX('Bid Tiers (Popularity Score)'!$A$4:$A$7,MATCH(D52,'Bid Tiers (Popularity Score)'!$B$4:$B$7,1)))</f>
        <v>No Data</v>
      </c>
      <c r="F52" s="27" t="n">
        <f aca="false">IF(D52="",0.25,INDEX('Bid Tiers (Popularity Score)'!$E$4:$E$7,MATCH(D52,'Bid Tiers (Popularity Score)'!$B$4:$B$7,1)))</f>
        <v>0.25</v>
      </c>
      <c r="G52" s="14"/>
    </row>
    <row r="53" customFormat="false" ht="15" hidden="false" customHeight="false" outlineLevel="0" collapsed="false">
      <c r="A53" s="25" t="s">
        <v>35</v>
      </c>
      <c r="B53" s="26" t="s">
        <v>387</v>
      </c>
      <c r="C53" s="26" t="s">
        <v>94</v>
      </c>
      <c r="D53" s="15"/>
      <c r="E53" s="26" t="str">
        <f aca="false">IF(D53="","No Data",INDEX('Bid Tiers (Popularity Score)'!$A$4:$A$7,MATCH(D53,'Bid Tiers (Popularity Score)'!$B$4:$B$7,1)))</f>
        <v>No Data</v>
      </c>
      <c r="F53" s="27" t="n">
        <f aca="false">IF(D53="",0.25,INDEX('Bid Tiers (Popularity Score)'!$E$4:$E$7,MATCH(D53,'Bid Tiers (Popularity Score)'!$B$4:$B$7,1)))</f>
        <v>0.25</v>
      </c>
      <c r="G53" s="14"/>
    </row>
    <row r="54" customFormat="false" ht="15" hidden="false" customHeight="false" outlineLevel="0" collapsed="false">
      <c r="A54" s="25" t="s">
        <v>35</v>
      </c>
      <c r="B54" s="26" t="s">
        <v>388</v>
      </c>
      <c r="C54" s="26" t="s">
        <v>94</v>
      </c>
      <c r="D54" s="15"/>
      <c r="E54" s="26" t="str">
        <f aca="false">IF(D54="","No Data",INDEX('Bid Tiers (Popularity Score)'!$A$4:$A$7,MATCH(D54,'Bid Tiers (Popularity Score)'!$B$4:$B$7,1)))</f>
        <v>No Data</v>
      </c>
      <c r="F54" s="27" t="n">
        <f aca="false">IF(D54="",0.25,INDEX('Bid Tiers (Popularity Score)'!$E$4:$E$7,MATCH(D54,'Bid Tiers (Popularity Score)'!$B$4:$B$7,1)))</f>
        <v>0.25</v>
      </c>
      <c r="G54" s="14"/>
    </row>
    <row r="55" customFormat="false" ht="35.05" hidden="false" customHeight="false" outlineLevel="0" collapsed="false">
      <c r="A55" s="25" t="s">
        <v>35</v>
      </c>
      <c r="B55" s="26" t="s">
        <v>125</v>
      </c>
      <c r="C55" s="26" t="s">
        <v>94</v>
      </c>
      <c r="D55" s="15"/>
      <c r="E55" s="26" t="str">
        <f aca="false">IF(D55="","No Data",INDEX('Bid Tiers (Popularity Score)'!$A$4:$A$7,MATCH(D55,'Bid Tiers (Popularity Score)'!$B$4:$B$7,1)))</f>
        <v>No Data</v>
      </c>
      <c r="F55" s="27" t="n">
        <f aca="false">IF(D55="",0.25,INDEX('Bid Tiers (Popularity Score)'!$E$4:$E$7,MATCH(D55,'Bid Tiers (Popularity Score)'!$B$4:$B$7,1)))</f>
        <v>0.25</v>
      </c>
      <c r="G55" s="14" t="s">
        <v>126</v>
      </c>
    </row>
    <row r="56" customFormat="false" ht="15" hidden="false" customHeight="false" outlineLevel="0" collapsed="false">
      <c r="A56" s="25" t="s">
        <v>35</v>
      </c>
      <c r="B56" s="26" t="s">
        <v>130</v>
      </c>
      <c r="C56" s="26" t="s">
        <v>94</v>
      </c>
      <c r="D56" s="15"/>
      <c r="E56" s="26" t="str">
        <f aca="false">IF(D56="","No Data",INDEX('Bid Tiers (Popularity Score)'!$A$4:$A$7,MATCH(D56,'Bid Tiers (Popularity Score)'!$B$4:$B$7,1)))</f>
        <v>No Data</v>
      </c>
      <c r="F56" s="27" t="n">
        <f aca="false">IF(D56="",0.25,INDEX('Bid Tiers (Popularity Score)'!$E$4:$E$7,MATCH(D56,'Bid Tiers (Popularity Score)'!$B$4:$B$7,1)))</f>
        <v>0.25</v>
      </c>
      <c r="G56" s="14"/>
    </row>
    <row r="57" customFormat="false" ht="15" hidden="false" customHeight="false" outlineLevel="0" collapsed="false">
      <c r="A57" s="25" t="s">
        <v>35</v>
      </c>
      <c r="B57" s="26" t="s">
        <v>129</v>
      </c>
      <c r="C57" s="26" t="s">
        <v>94</v>
      </c>
      <c r="D57" s="15"/>
      <c r="E57" s="26" t="str">
        <f aca="false">IF(D57="","No Data",INDEX('Bid Tiers (Popularity Score)'!$A$4:$A$7,MATCH(D57,'Bid Tiers (Popularity Score)'!$B$4:$B$7,1)))</f>
        <v>No Data</v>
      </c>
      <c r="F57" s="27" t="n">
        <f aca="false">IF(D57="",0.25,INDEX('Bid Tiers (Popularity Score)'!$E$4:$E$7,MATCH(D57,'Bid Tiers (Popularity Score)'!$B$4:$B$7,1)))</f>
        <v>0.25</v>
      </c>
      <c r="G57" s="14"/>
    </row>
    <row r="58" customFormat="false" ht="15" hidden="false" customHeight="false" outlineLevel="0" collapsed="false">
      <c r="A58" s="25" t="s">
        <v>35</v>
      </c>
      <c r="B58" s="26" t="s">
        <v>124</v>
      </c>
      <c r="C58" s="26" t="s">
        <v>94</v>
      </c>
      <c r="D58" s="15"/>
      <c r="E58" s="26" t="str">
        <f aca="false">IF(D58="","No Data",INDEX('Bid Tiers (Popularity Score)'!$A$4:$A$7,MATCH(D58,'Bid Tiers (Popularity Score)'!$B$4:$B$7,1)))</f>
        <v>No Data</v>
      </c>
      <c r="F58" s="27" t="n">
        <f aca="false">IF(D58="",0.25,INDEX('Bid Tiers (Popularity Score)'!$E$4:$E$7,MATCH(D58,'Bid Tiers (Popularity Score)'!$B$4:$B$7,1)))</f>
        <v>0.25</v>
      </c>
      <c r="G58" s="14"/>
    </row>
    <row r="59" customFormat="false" ht="15" hidden="false" customHeight="false" outlineLevel="0" collapsed="false">
      <c r="A59" s="25" t="s">
        <v>35</v>
      </c>
      <c r="B59" s="26" t="s">
        <v>127</v>
      </c>
      <c r="C59" s="26" t="s">
        <v>94</v>
      </c>
      <c r="D59" s="15"/>
      <c r="E59" s="26" t="str">
        <f aca="false">IF(D59="","No Data",INDEX('Bid Tiers (Popularity Score)'!$A$4:$A$7,MATCH(D59,'Bid Tiers (Popularity Score)'!$B$4:$B$7,1)))</f>
        <v>No Data</v>
      </c>
      <c r="F59" s="27" t="n">
        <f aca="false">IF(D59="",0.25,INDEX('Bid Tiers (Popularity Score)'!$E$4:$E$7,MATCH(D59,'Bid Tiers (Popularity Score)'!$B$4:$B$7,1)))</f>
        <v>0.25</v>
      </c>
      <c r="G59" s="14"/>
    </row>
    <row r="60" customFormat="false" ht="15" hidden="false" customHeight="false" outlineLevel="0" collapsed="false">
      <c r="A60" s="25" t="s">
        <v>38</v>
      </c>
      <c r="B60" s="26" t="s">
        <v>133</v>
      </c>
      <c r="C60" s="26" t="s">
        <v>94</v>
      </c>
      <c r="D60" s="15"/>
      <c r="E60" s="26" t="str">
        <f aca="false">IF(D60="","No Data",INDEX('Bid Tiers (Popularity Score)'!$A$4:$A$7,MATCH(D60,'Bid Tiers (Popularity Score)'!$B$4:$B$7,1)))</f>
        <v>No Data</v>
      </c>
      <c r="F60" s="27" t="n">
        <f aca="false">IF(D60="",0.25,INDEX('Bid Tiers (Popularity Score)'!$E$4:$E$7,MATCH(D60,'Bid Tiers (Popularity Score)'!$B$4:$B$7,1)))</f>
        <v>0.25</v>
      </c>
      <c r="G60" s="14"/>
    </row>
    <row r="61" customFormat="false" ht="15" hidden="false" customHeight="false" outlineLevel="0" collapsed="false">
      <c r="A61" s="25" t="s">
        <v>38</v>
      </c>
      <c r="B61" s="26" t="s">
        <v>131</v>
      </c>
      <c r="C61" s="26" t="s">
        <v>94</v>
      </c>
      <c r="D61" s="15"/>
      <c r="E61" s="26" t="str">
        <f aca="false">IF(D61="","No Data",INDEX('Bid Tiers (Popularity Score)'!$A$4:$A$7,MATCH(D61,'Bid Tiers (Popularity Score)'!$B$4:$B$7,1)))</f>
        <v>No Data</v>
      </c>
      <c r="F61" s="27" t="n">
        <f aca="false">IF(D61="",0.25,INDEX('Bid Tiers (Popularity Score)'!$E$4:$E$7,MATCH(D61,'Bid Tiers (Popularity Score)'!$B$4:$B$7,1)))</f>
        <v>0.25</v>
      </c>
      <c r="G61" s="14"/>
    </row>
    <row r="62" customFormat="false" ht="15" hidden="false" customHeight="false" outlineLevel="0" collapsed="false">
      <c r="A62" s="25" t="s">
        <v>38</v>
      </c>
      <c r="B62" s="26" t="s">
        <v>132</v>
      </c>
      <c r="C62" s="26" t="s">
        <v>94</v>
      </c>
      <c r="D62" s="15"/>
      <c r="E62" s="26" t="str">
        <f aca="false">IF(D62="","No Data",INDEX('Bid Tiers (Popularity Score)'!$A$4:$A$7,MATCH(D62,'Bid Tiers (Popularity Score)'!$B$4:$B$7,1)))</f>
        <v>No Data</v>
      </c>
      <c r="F62" s="27" t="n">
        <f aca="false">IF(D62="",0.25,INDEX('Bid Tiers (Popularity Score)'!$E$4:$E$7,MATCH(D62,'Bid Tiers (Popularity Score)'!$B$4:$B$7,1)))</f>
        <v>0.25</v>
      </c>
      <c r="G62" s="14"/>
    </row>
    <row r="63" customFormat="false" ht="15" hidden="false" customHeight="false" outlineLevel="0" collapsed="false">
      <c r="A63" s="25" t="s">
        <v>38</v>
      </c>
      <c r="B63" s="26" t="s">
        <v>234</v>
      </c>
      <c r="C63" s="26" t="s">
        <v>94</v>
      </c>
      <c r="D63" s="15" t="n">
        <v>0</v>
      </c>
      <c r="E63" s="26" t="str">
        <f aca="false">IF(D63="","No Data",INDEX('Bid Tiers (Popularity Score)'!$A$4:$A$7,MATCH(D63,'Bid Tiers (Popularity Score)'!$B$4:$B$7,1)))</f>
        <v>Tier D — Below Threshold (&lt;5)</v>
      </c>
      <c r="F63" s="27" t="n">
        <f aca="false">IF(D63="",0.25,INDEX('Bid Tiers (Popularity Score)'!$E$4:$E$7,MATCH(D63,'Bid Tiers (Popularity Score)'!$B$4:$B$7,1)))</f>
        <v>0.5</v>
      </c>
      <c r="G63" s="14"/>
    </row>
    <row r="64" customFormat="false" ht="15" hidden="false" customHeight="false" outlineLevel="0" collapsed="false">
      <c r="A64" s="25" t="s">
        <v>38</v>
      </c>
      <c r="B64" s="26" t="s">
        <v>134</v>
      </c>
      <c r="C64" s="26" t="s">
        <v>94</v>
      </c>
      <c r="D64" s="15" t="n">
        <v>0</v>
      </c>
      <c r="E64" s="26" t="str">
        <f aca="false">IF(D64="","No Data",INDEX('Bid Tiers (Popularity Score)'!$A$4:$A$7,MATCH(D64,'Bid Tiers (Popularity Score)'!$B$4:$B$7,1)))</f>
        <v>Tier D — Below Threshold (&lt;5)</v>
      </c>
      <c r="F64" s="27" t="n">
        <f aca="false">IF(D64="",0.25,INDEX('Bid Tiers (Popularity Score)'!$E$4:$E$7,MATCH(D64,'Bid Tiers (Popularity Score)'!$B$4:$B$7,1)))</f>
        <v>0.5</v>
      </c>
      <c r="G64" s="14"/>
    </row>
    <row r="65" customFormat="false" ht="15" hidden="false" customHeight="false" outlineLevel="0" collapsed="false">
      <c r="A65" s="25" t="s">
        <v>38</v>
      </c>
      <c r="B65" s="26" t="s">
        <v>136</v>
      </c>
      <c r="C65" s="26" t="s">
        <v>94</v>
      </c>
      <c r="D65" s="15" t="n">
        <v>0</v>
      </c>
      <c r="E65" s="26" t="str">
        <f aca="false">IF(D65="","No Data",INDEX('Bid Tiers (Popularity Score)'!$A$4:$A$7,MATCH(D65,'Bid Tiers (Popularity Score)'!$B$4:$B$7,1)))</f>
        <v>Tier D — Below Threshold (&lt;5)</v>
      </c>
      <c r="F65" s="27" t="n">
        <f aca="false">IF(D65="",0.25,INDEX('Bid Tiers (Popularity Score)'!$E$4:$E$7,MATCH(D65,'Bid Tiers (Popularity Score)'!$B$4:$B$7,1)))</f>
        <v>0.5</v>
      </c>
      <c r="G65" s="14"/>
    </row>
    <row r="66" customFormat="false" ht="15" hidden="false" customHeight="false" outlineLevel="0" collapsed="false">
      <c r="A66" s="25" t="s">
        <v>38</v>
      </c>
      <c r="B66" s="26" t="s">
        <v>135</v>
      </c>
      <c r="C66" s="26" t="s">
        <v>94</v>
      </c>
      <c r="D66" s="15" t="n">
        <v>0</v>
      </c>
      <c r="E66" s="26" t="str">
        <f aca="false">IF(D66="","No Data",INDEX('Bid Tiers (Popularity Score)'!$A$4:$A$7,MATCH(D66,'Bid Tiers (Popularity Score)'!$B$4:$B$7,1)))</f>
        <v>Tier D — Below Threshold (&lt;5)</v>
      </c>
      <c r="F66" s="27" t="n">
        <f aca="false">IF(D66="",0.25,INDEX('Bid Tiers (Popularity Score)'!$E$4:$E$7,MATCH(D66,'Bid Tiers (Popularity Score)'!$B$4:$B$7,1)))</f>
        <v>0.5</v>
      </c>
      <c r="G66" s="14"/>
    </row>
    <row r="67" customFormat="false" ht="15" hidden="false" customHeight="false" outlineLevel="0" collapsed="false">
      <c r="A67" s="25" t="s">
        <v>41</v>
      </c>
      <c r="B67" s="26" t="s">
        <v>140</v>
      </c>
      <c r="C67" s="26" t="s">
        <v>94</v>
      </c>
      <c r="D67" s="15"/>
      <c r="E67" s="26" t="str">
        <f aca="false">IF(D67="","No Data",INDEX('Bid Tiers (Popularity Score)'!$A$4:$A$7,MATCH(D67,'Bid Tiers (Popularity Score)'!$B$4:$B$7,1)))</f>
        <v>No Data</v>
      </c>
      <c r="F67" s="27" t="n">
        <f aca="false">IF(D67="",0.25,INDEX('Bid Tiers (Popularity Score)'!$E$4:$E$7,MATCH(D67,'Bid Tiers (Popularity Score)'!$B$4:$B$7,1)))</f>
        <v>0.25</v>
      </c>
      <c r="G67" s="14"/>
    </row>
    <row r="68" customFormat="false" ht="15" hidden="false" customHeight="false" outlineLevel="0" collapsed="false">
      <c r="A68" s="25" t="s">
        <v>41</v>
      </c>
      <c r="B68" s="26" t="s">
        <v>137</v>
      </c>
      <c r="C68" s="26" t="s">
        <v>94</v>
      </c>
      <c r="D68" s="15"/>
      <c r="E68" s="26" t="str">
        <f aca="false">IF(D68="","No Data",INDEX('Bid Tiers (Popularity Score)'!$A$4:$A$7,MATCH(D68,'Bid Tiers (Popularity Score)'!$B$4:$B$7,1)))</f>
        <v>No Data</v>
      </c>
      <c r="F68" s="27" t="n">
        <f aca="false">IF(D68="",0.25,INDEX('Bid Tiers (Popularity Score)'!$E$4:$E$7,MATCH(D68,'Bid Tiers (Popularity Score)'!$B$4:$B$7,1)))</f>
        <v>0.25</v>
      </c>
      <c r="G68" s="14"/>
    </row>
    <row r="69" customFormat="false" ht="15" hidden="false" customHeight="false" outlineLevel="0" collapsed="false">
      <c r="A69" s="25" t="s">
        <v>41</v>
      </c>
      <c r="B69" s="26" t="s">
        <v>138</v>
      </c>
      <c r="C69" s="26" t="s">
        <v>94</v>
      </c>
      <c r="D69" s="15"/>
      <c r="E69" s="26" t="str">
        <f aca="false">IF(D69="","No Data",INDEX('Bid Tiers (Popularity Score)'!$A$4:$A$7,MATCH(D69,'Bid Tiers (Popularity Score)'!$B$4:$B$7,1)))</f>
        <v>No Data</v>
      </c>
      <c r="F69" s="27" t="n">
        <f aca="false">IF(D69="",0.25,INDEX('Bid Tiers (Popularity Score)'!$E$4:$E$7,MATCH(D69,'Bid Tiers (Popularity Score)'!$B$4:$B$7,1)))</f>
        <v>0.25</v>
      </c>
      <c r="G69" s="14"/>
    </row>
    <row r="70" customFormat="false" ht="15" hidden="false" customHeight="false" outlineLevel="0" collapsed="false">
      <c r="A70" s="25" t="s">
        <v>41</v>
      </c>
      <c r="B70" s="26" t="s">
        <v>174</v>
      </c>
      <c r="C70" s="26" t="s">
        <v>94</v>
      </c>
      <c r="D70" s="15" t="n">
        <v>0</v>
      </c>
      <c r="E70" s="26" t="str">
        <f aca="false">IF(D70="","No Data",INDEX('Bid Tiers (Popularity Score)'!$A$4:$A$7,MATCH(D70,'Bid Tiers (Popularity Score)'!$B$4:$B$7,1)))</f>
        <v>Tier D — Below Threshold (&lt;5)</v>
      </c>
      <c r="F70" s="27" t="n">
        <f aca="false">IF(D70="",0.25,INDEX('Bid Tiers (Popularity Score)'!$E$4:$E$7,MATCH(D70,'Bid Tiers (Popularity Score)'!$B$4:$B$7,1)))</f>
        <v>0.5</v>
      </c>
      <c r="G70" s="14"/>
    </row>
    <row r="71" customFormat="false" ht="15" hidden="false" customHeight="false" outlineLevel="0" collapsed="false">
      <c r="A71" s="25" t="s">
        <v>41</v>
      </c>
      <c r="B71" s="26" t="s">
        <v>139</v>
      </c>
      <c r="C71" s="26" t="s">
        <v>94</v>
      </c>
      <c r="D71" s="15"/>
      <c r="E71" s="26" t="str">
        <f aca="false">IF(D71="","No Data",INDEX('Bid Tiers (Popularity Score)'!$A$4:$A$7,MATCH(D71,'Bid Tiers (Popularity Score)'!$B$4:$B$7,1)))</f>
        <v>No Data</v>
      </c>
      <c r="F71" s="27" t="n">
        <f aca="false">IF(D71="",0.25,INDEX('Bid Tiers (Popularity Score)'!$E$4:$E$7,MATCH(D71,'Bid Tiers (Popularity Score)'!$B$4:$B$7,1)))</f>
        <v>0.25</v>
      </c>
      <c r="G71" s="14"/>
    </row>
    <row r="72" customFormat="false" ht="15" hidden="false" customHeight="false" outlineLevel="0" collapsed="false">
      <c r="A72" s="25" t="s">
        <v>41</v>
      </c>
      <c r="B72" s="26" t="s">
        <v>141</v>
      </c>
      <c r="C72" s="26" t="s">
        <v>94</v>
      </c>
      <c r="D72" s="15"/>
      <c r="E72" s="26" t="str">
        <f aca="false">IF(D72="","No Data",INDEX('Bid Tiers (Popularity Score)'!$A$4:$A$7,MATCH(D72,'Bid Tiers (Popularity Score)'!$B$4:$B$7,1)))</f>
        <v>No Data</v>
      </c>
      <c r="F72" s="27" t="n">
        <f aca="false">IF(D72="",0.25,INDEX('Bid Tiers (Popularity Score)'!$E$4:$E$7,MATCH(D72,'Bid Tiers (Popularity Score)'!$B$4:$B$7,1)))</f>
        <v>0.25</v>
      </c>
      <c r="G72" s="14"/>
    </row>
    <row r="73" customFormat="false" ht="15" hidden="false" customHeight="false" outlineLevel="0" collapsed="false">
      <c r="A73" s="25" t="s">
        <v>41</v>
      </c>
      <c r="B73" s="26" t="s">
        <v>236</v>
      </c>
      <c r="C73" s="26" t="s">
        <v>94</v>
      </c>
      <c r="D73" s="15"/>
      <c r="E73" s="26" t="str">
        <f aca="false">IF(D73="","No Data",INDEX('Bid Tiers (Popularity Score)'!$A$4:$A$7,MATCH(D73,'Bid Tiers (Popularity Score)'!$B$4:$B$7,1)))</f>
        <v>No Data</v>
      </c>
      <c r="F73" s="27" t="n">
        <f aca="false">IF(D73="",0.25,INDEX('Bid Tiers (Popularity Score)'!$E$4:$E$7,MATCH(D73,'Bid Tiers (Popularity Score)'!$B$4:$B$7,1)))</f>
        <v>0.25</v>
      </c>
      <c r="G73" s="14"/>
    </row>
    <row r="74" customFormat="false" ht="15" hidden="false" customHeight="false" outlineLevel="0" collapsed="false">
      <c r="A74" s="25" t="s">
        <v>41</v>
      </c>
      <c r="B74" s="26" t="s">
        <v>267</v>
      </c>
      <c r="C74" s="26" t="s">
        <v>94</v>
      </c>
      <c r="D74" s="15"/>
      <c r="E74" s="26" t="str">
        <f aca="false">IF(D74="","No Data",INDEX('Bid Tiers (Popularity Score)'!$A$4:$A$7,MATCH(D74,'Bid Tiers (Popularity Score)'!$B$4:$B$7,1)))</f>
        <v>No Data</v>
      </c>
      <c r="F74" s="27" t="n">
        <f aca="false">IF(D74="",0.25,INDEX('Bid Tiers (Popularity Score)'!$E$4:$E$7,MATCH(D74,'Bid Tiers (Popularity Score)'!$B$4:$B$7,1)))</f>
        <v>0.25</v>
      </c>
      <c r="G74" s="14"/>
    </row>
    <row r="75" customFormat="false" ht="15" hidden="false" customHeight="false" outlineLevel="0" collapsed="false">
      <c r="A75" s="25" t="s">
        <v>41</v>
      </c>
      <c r="B75" s="26" t="s">
        <v>389</v>
      </c>
      <c r="C75" s="26" t="s">
        <v>94</v>
      </c>
      <c r="D75" s="15"/>
      <c r="E75" s="26" t="str">
        <f aca="false">IF(D75="","No Data",INDEX('Bid Tiers (Popularity Score)'!$A$4:$A$7,MATCH(D75,'Bid Tiers (Popularity Score)'!$B$4:$B$7,1)))</f>
        <v>No Data</v>
      </c>
      <c r="F75" s="27" t="n">
        <f aca="false">IF(D75="",0.25,INDEX('Bid Tiers (Popularity Score)'!$E$4:$E$7,MATCH(D75,'Bid Tiers (Popularity Score)'!$B$4:$B$7,1)))</f>
        <v>0.25</v>
      </c>
      <c r="G75" s="14"/>
    </row>
    <row r="76" customFormat="false" ht="15" hidden="false" customHeight="false" outlineLevel="0" collapsed="false">
      <c r="A76" s="25" t="s">
        <v>41</v>
      </c>
      <c r="B76" s="26" t="s">
        <v>390</v>
      </c>
      <c r="C76" s="26" t="s">
        <v>94</v>
      </c>
      <c r="D76" s="15"/>
      <c r="E76" s="26" t="str">
        <f aca="false">IF(D76="","No Data",INDEX('Bid Tiers (Popularity Score)'!$A$4:$A$7,MATCH(D76,'Bid Tiers (Popularity Score)'!$B$4:$B$7,1)))</f>
        <v>No Data</v>
      </c>
      <c r="F76" s="27" t="n">
        <f aca="false">IF(D76="",0.25,INDEX('Bid Tiers (Popularity Score)'!$E$4:$E$7,MATCH(D76,'Bid Tiers (Popularity Score)'!$B$4:$B$7,1)))</f>
        <v>0.25</v>
      </c>
      <c r="G76" s="14"/>
    </row>
    <row r="77" customFormat="false" ht="15" hidden="false" customHeight="false" outlineLevel="0" collapsed="false">
      <c r="A77" s="25" t="s">
        <v>41</v>
      </c>
      <c r="B77" s="26" t="s">
        <v>145</v>
      </c>
      <c r="C77" s="26" t="s">
        <v>94</v>
      </c>
      <c r="D77" s="15" t="n">
        <v>0</v>
      </c>
      <c r="E77" s="26" t="str">
        <f aca="false">IF(D77="","No Data",INDEX('Bid Tiers (Popularity Score)'!$A$4:$A$7,MATCH(D77,'Bid Tiers (Popularity Score)'!$B$4:$B$7,1)))</f>
        <v>Tier D — Below Threshold (&lt;5)</v>
      </c>
      <c r="F77" s="27" t="n">
        <f aca="false">IF(D77="",0.25,INDEX('Bid Tiers (Popularity Score)'!$E$4:$E$7,MATCH(D77,'Bid Tiers (Popularity Score)'!$B$4:$B$7,1)))</f>
        <v>0.5</v>
      </c>
      <c r="G77" s="14"/>
    </row>
    <row r="78" customFormat="false" ht="15" hidden="false" customHeight="false" outlineLevel="0" collapsed="false">
      <c r="A78" s="25" t="s">
        <v>41</v>
      </c>
      <c r="B78" s="26" t="s">
        <v>143</v>
      </c>
      <c r="C78" s="26" t="s">
        <v>94</v>
      </c>
      <c r="D78" s="15"/>
      <c r="E78" s="26" t="str">
        <f aca="false">IF(D78="","No Data",INDEX('Bid Tiers (Popularity Score)'!$A$4:$A$7,MATCH(D78,'Bid Tiers (Popularity Score)'!$B$4:$B$7,1)))</f>
        <v>No Data</v>
      </c>
      <c r="F78" s="27" t="n">
        <f aca="false">IF(D78="",0.25,INDEX('Bid Tiers (Popularity Score)'!$E$4:$E$7,MATCH(D78,'Bid Tiers (Popularity Score)'!$B$4:$B$7,1)))</f>
        <v>0.25</v>
      </c>
      <c r="G78" s="14"/>
    </row>
    <row r="79" customFormat="false" ht="15" hidden="false" customHeight="false" outlineLevel="0" collapsed="false">
      <c r="A79" s="25" t="s">
        <v>41</v>
      </c>
      <c r="B79" s="26" t="s">
        <v>269</v>
      </c>
      <c r="C79" s="26" t="s">
        <v>94</v>
      </c>
      <c r="D79" s="15"/>
      <c r="E79" s="26" t="str">
        <f aca="false">IF(D79="","No Data",INDEX('Bid Tiers (Popularity Score)'!$A$4:$A$7,MATCH(D79,'Bid Tiers (Popularity Score)'!$B$4:$B$7,1)))</f>
        <v>No Data</v>
      </c>
      <c r="F79" s="27" t="n">
        <f aca="false">IF(D79="",0.25,INDEX('Bid Tiers (Popularity Score)'!$E$4:$E$7,MATCH(D79,'Bid Tiers (Popularity Score)'!$B$4:$B$7,1)))</f>
        <v>0.25</v>
      </c>
      <c r="G79" s="14"/>
    </row>
    <row r="80" customFormat="false" ht="15" hidden="false" customHeight="false" outlineLevel="0" collapsed="false">
      <c r="A80" s="25" t="s">
        <v>41</v>
      </c>
      <c r="B80" s="26" t="s">
        <v>268</v>
      </c>
      <c r="C80" s="26" t="s">
        <v>94</v>
      </c>
      <c r="D80" s="15" t="n">
        <v>0</v>
      </c>
      <c r="E80" s="26" t="str">
        <f aca="false">IF(D80="","No Data",INDEX('Bid Tiers (Popularity Score)'!$A$4:$A$7,MATCH(D80,'Bid Tiers (Popularity Score)'!$B$4:$B$7,1)))</f>
        <v>Tier D — Below Threshold (&lt;5)</v>
      </c>
      <c r="F80" s="27" t="n">
        <f aca="false">IF(D80="",0.25,INDEX('Bid Tiers (Popularity Score)'!$E$4:$E$7,MATCH(D80,'Bid Tiers (Popularity Score)'!$B$4:$B$7,1)))</f>
        <v>0.5</v>
      </c>
      <c r="G80" s="14"/>
    </row>
    <row r="81" customFormat="false" ht="15" hidden="false" customHeight="false" outlineLevel="0" collapsed="false">
      <c r="A81" s="25" t="s">
        <v>41</v>
      </c>
      <c r="B81" s="26" t="s">
        <v>391</v>
      </c>
      <c r="C81" s="26" t="s">
        <v>94</v>
      </c>
      <c r="D81" s="15"/>
      <c r="E81" s="26" t="str">
        <f aca="false">IF(D81="","No Data",INDEX('Bid Tiers (Popularity Score)'!$A$4:$A$7,MATCH(D81,'Bid Tiers (Popularity Score)'!$B$4:$B$7,1)))</f>
        <v>No Data</v>
      </c>
      <c r="F81" s="27" t="n">
        <f aca="false">IF(D81="",0.25,INDEX('Bid Tiers (Popularity Score)'!$E$4:$E$7,MATCH(D81,'Bid Tiers (Popularity Score)'!$B$4:$B$7,1)))</f>
        <v>0.25</v>
      </c>
      <c r="G81" s="14" t="s">
        <v>392</v>
      </c>
    </row>
    <row r="82" customFormat="false" ht="15" hidden="false" customHeight="false" outlineLevel="0" collapsed="false">
      <c r="A82" s="25" t="s">
        <v>41</v>
      </c>
      <c r="B82" s="26" t="s">
        <v>237</v>
      </c>
      <c r="C82" s="26" t="s">
        <v>94</v>
      </c>
      <c r="D82" s="15"/>
      <c r="E82" s="26" t="str">
        <f aca="false">IF(D82="","No Data",INDEX('Bid Tiers (Popularity Score)'!$A$4:$A$7,MATCH(D82,'Bid Tiers (Popularity Score)'!$B$4:$B$7,1)))</f>
        <v>No Data</v>
      </c>
      <c r="F82" s="27" t="n">
        <f aca="false">IF(D82="",0.25,INDEX('Bid Tiers (Popularity Score)'!$E$4:$E$7,MATCH(D82,'Bid Tiers (Popularity Score)'!$B$4:$B$7,1)))</f>
        <v>0.25</v>
      </c>
      <c r="G82" s="14"/>
    </row>
    <row r="83" customFormat="false" ht="15" hidden="false" customHeight="false" outlineLevel="0" collapsed="false">
      <c r="A83" s="25" t="s">
        <v>41</v>
      </c>
      <c r="B83" s="26" t="s">
        <v>144</v>
      </c>
      <c r="C83" s="26" t="s">
        <v>94</v>
      </c>
      <c r="D83" s="15" t="n">
        <v>0</v>
      </c>
      <c r="E83" s="26" t="str">
        <f aca="false">IF(D83="","No Data",INDEX('Bid Tiers (Popularity Score)'!$A$4:$A$7,MATCH(D83,'Bid Tiers (Popularity Score)'!$B$4:$B$7,1)))</f>
        <v>Tier D — Below Threshold (&lt;5)</v>
      </c>
      <c r="F83" s="27" t="n">
        <f aca="false">IF(D83="",0.25,INDEX('Bid Tiers (Popularity Score)'!$E$4:$E$7,MATCH(D83,'Bid Tiers (Popularity Score)'!$B$4:$B$7,1)))</f>
        <v>0.5</v>
      </c>
      <c r="G83" s="14"/>
    </row>
    <row r="84" customFormat="false" ht="15" hidden="false" customHeight="false" outlineLevel="0" collapsed="false">
      <c r="A84" s="25" t="s">
        <v>41</v>
      </c>
      <c r="B84" s="26" t="s">
        <v>142</v>
      </c>
      <c r="C84" s="26" t="s">
        <v>94</v>
      </c>
      <c r="D84" s="15"/>
      <c r="E84" s="26" t="str">
        <f aca="false">IF(D84="","No Data",INDEX('Bid Tiers (Popularity Score)'!$A$4:$A$7,MATCH(D84,'Bid Tiers (Popularity Score)'!$B$4:$B$7,1)))</f>
        <v>No Data</v>
      </c>
      <c r="F84" s="27" t="n">
        <f aca="false">IF(D84="",0.25,INDEX('Bid Tiers (Popularity Score)'!$E$4:$E$7,MATCH(D84,'Bid Tiers (Popularity Score)'!$B$4:$B$7,1)))</f>
        <v>0.25</v>
      </c>
      <c r="G84" s="14"/>
    </row>
    <row r="85" customFormat="false" ht="15" hidden="false" customHeight="false" outlineLevel="0" collapsed="false">
      <c r="A85" s="25" t="s">
        <v>41</v>
      </c>
      <c r="B85" s="26" t="s">
        <v>270</v>
      </c>
      <c r="C85" s="26" t="s">
        <v>94</v>
      </c>
      <c r="D85" s="15"/>
      <c r="E85" s="26" t="str">
        <f aca="false">IF(D85="","No Data",INDEX('Bid Tiers (Popularity Score)'!$A$4:$A$7,MATCH(D85,'Bid Tiers (Popularity Score)'!$B$4:$B$7,1)))</f>
        <v>No Data</v>
      </c>
      <c r="F85" s="27" t="n">
        <f aca="false">IF(D85="",0.25,INDEX('Bid Tiers (Popularity Score)'!$E$4:$E$7,MATCH(D85,'Bid Tiers (Popularity Score)'!$B$4:$B$7,1)))</f>
        <v>0.25</v>
      </c>
      <c r="G85" s="14"/>
    </row>
    <row r="86" customFormat="false" ht="23.85" hidden="false" customHeight="false" outlineLevel="0" collapsed="false">
      <c r="A86" s="25" t="s">
        <v>41</v>
      </c>
      <c r="B86" s="26" t="s">
        <v>393</v>
      </c>
      <c r="C86" s="26" t="s">
        <v>94</v>
      </c>
      <c r="D86" s="15" t="n">
        <v>0</v>
      </c>
      <c r="E86" s="26" t="str">
        <f aca="false">IF(D86="","No Data",INDEX('Bid Tiers (Popularity Score)'!$A$4:$A$7,MATCH(D86,'Bid Tiers (Popularity Score)'!$B$4:$B$7,1)))</f>
        <v>Tier D — Below Threshold (&lt;5)</v>
      </c>
      <c r="F86" s="27" t="n">
        <f aca="false">IF(D86="",0.25,INDEX('Bid Tiers (Popularity Score)'!$E$4:$E$7,MATCH(D86,'Bid Tiers (Popularity Score)'!$B$4:$B$7,1)))</f>
        <v>0.5</v>
      </c>
      <c r="G86" s="14" t="s">
        <v>394</v>
      </c>
    </row>
    <row r="87" customFormat="false" ht="35.05" hidden="false" customHeight="false" outlineLevel="0" collapsed="false">
      <c r="A87" s="25" t="s">
        <v>41</v>
      </c>
      <c r="B87" s="26" t="s">
        <v>395</v>
      </c>
      <c r="C87" s="26" t="s">
        <v>94</v>
      </c>
      <c r="D87" s="15" t="n">
        <v>0</v>
      </c>
      <c r="E87" s="26" t="str">
        <f aca="false">IF(D87="","No Data",INDEX('Bid Tiers (Popularity Score)'!$A$4:$A$7,MATCH(D87,'Bid Tiers (Popularity Score)'!$B$4:$B$7,1)))</f>
        <v>Tier D — Below Threshold (&lt;5)</v>
      </c>
      <c r="F87" s="27" t="n">
        <f aca="false">IF(D87="",0.25,INDEX('Bid Tiers (Popularity Score)'!$E$4:$E$7,MATCH(D87,'Bid Tiers (Popularity Score)'!$B$4:$B$7,1)))</f>
        <v>0.5</v>
      </c>
      <c r="G87" s="14" t="s">
        <v>396</v>
      </c>
    </row>
    <row r="88" customFormat="false" ht="15" hidden="false" customHeight="false" outlineLevel="0" collapsed="false">
      <c r="A88" s="25" t="s">
        <v>44</v>
      </c>
      <c r="B88" s="26" t="s">
        <v>397</v>
      </c>
      <c r="C88" s="26" t="s">
        <v>94</v>
      </c>
      <c r="D88" s="15"/>
      <c r="E88" s="26" t="str">
        <f aca="false">IF(D88="","No Data",INDEX('Bid Tiers (Popularity Score)'!$A$4:$A$7,MATCH(D88,'Bid Tiers (Popularity Score)'!$B$4:$B$7,1)))</f>
        <v>No Data</v>
      </c>
      <c r="F88" s="27" t="n">
        <f aca="false">IF(D88="",0.25,INDEX('Bid Tiers (Popularity Score)'!$E$4:$E$7,MATCH(D88,'Bid Tiers (Popularity Score)'!$B$4:$B$7,1)))</f>
        <v>0.25</v>
      </c>
      <c r="G88" s="14"/>
    </row>
    <row r="89" customFormat="false" ht="15" hidden="false" customHeight="false" outlineLevel="0" collapsed="false">
      <c r="A89" s="25" t="s">
        <v>44</v>
      </c>
      <c r="B89" s="26" t="s">
        <v>146</v>
      </c>
      <c r="C89" s="26" t="s">
        <v>94</v>
      </c>
      <c r="D89" s="15"/>
      <c r="E89" s="26" t="str">
        <f aca="false">IF(D89="","No Data",INDEX('Bid Tiers (Popularity Score)'!$A$4:$A$7,MATCH(D89,'Bid Tiers (Popularity Score)'!$B$4:$B$7,1)))</f>
        <v>No Data</v>
      </c>
      <c r="F89" s="27" t="n">
        <f aca="false">IF(D89="",0.25,INDEX('Bid Tiers (Popularity Score)'!$E$4:$E$7,MATCH(D89,'Bid Tiers (Popularity Score)'!$B$4:$B$7,1)))</f>
        <v>0.25</v>
      </c>
      <c r="G89" s="14"/>
    </row>
    <row r="90" customFormat="false" ht="15" hidden="false" customHeight="false" outlineLevel="0" collapsed="false">
      <c r="A90" s="25" t="s">
        <v>44</v>
      </c>
      <c r="B90" s="26" t="s">
        <v>147</v>
      </c>
      <c r="C90" s="26" t="s">
        <v>94</v>
      </c>
      <c r="D90" s="15"/>
      <c r="E90" s="26" t="str">
        <f aca="false">IF(D90="","No Data",INDEX('Bid Tiers (Popularity Score)'!$A$4:$A$7,MATCH(D90,'Bid Tiers (Popularity Score)'!$B$4:$B$7,1)))</f>
        <v>No Data</v>
      </c>
      <c r="F90" s="27" t="n">
        <f aca="false">IF(D90="",0.25,INDEX('Bid Tiers (Popularity Score)'!$E$4:$E$7,MATCH(D90,'Bid Tiers (Popularity Score)'!$B$4:$B$7,1)))</f>
        <v>0.25</v>
      </c>
      <c r="G90" s="14"/>
    </row>
    <row r="91" customFormat="false" ht="46.25" hidden="false" customHeight="false" outlineLevel="0" collapsed="false">
      <c r="A91" s="25" t="s">
        <v>44</v>
      </c>
      <c r="B91" s="26" t="s">
        <v>149</v>
      </c>
      <c r="C91" s="26" t="s">
        <v>94</v>
      </c>
      <c r="D91" s="15"/>
      <c r="E91" s="26" t="str">
        <f aca="false">IF(D91="","No Data",INDEX('Bid Tiers (Popularity Score)'!$A$4:$A$7,MATCH(D91,'Bid Tiers (Popularity Score)'!$B$4:$B$7,1)))</f>
        <v>No Data</v>
      </c>
      <c r="F91" s="27" t="n">
        <f aca="false">IF(D91="",0.25,INDEX('Bid Tiers (Popularity Score)'!$E$4:$E$7,MATCH(D91,'Bid Tiers (Popularity Score)'!$B$4:$B$7,1)))</f>
        <v>0.25</v>
      </c>
      <c r="G91" s="14" t="s">
        <v>150</v>
      </c>
    </row>
    <row r="92" customFormat="false" ht="15" hidden="false" customHeight="false" outlineLevel="0" collapsed="false">
      <c r="A92" s="25" t="s">
        <v>44</v>
      </c>
      <c r="B92" s="26" t="s">
        <v>151</v>
      </c>
      <c r="C92" s="26" t="s">
        <v>94</v>
      </c>
      <c r="D92" s="15"/>
      <c r="E92" s="26" t="str">
        <f aca="false">IF(D92="","No Data",INDEX('Bid Tiers (Popularity Score)'!$A$4:$A$7,MATCH(D92,'Bid Tiers (Popularity Score)'!$B$4:$B$7,1)))</f>
        <v>No Data</v>
      </c>
      <c r="F92" s="27" t="n">
        <f aca="false">IF(D92="",0.25,INDEX('Bid Tiers (Popularity Score)'!$E$4:$E$7,MATCH(D92,'Bid Tiers (Popularity Score)'!$B$4:$B$7,1)))</f>
        <v>0.25</v>
      </c>
      <c r="G92" s="14"/>
    </row>
    <row r="93" customFormat="false" ht="15" hidden="false" customHeight="false" outlineLevel="0" collapsed="false">
      <c r="A93" s="25" t="s">
        <v>44</v>
      </c>
      <c r="B93" s="26" t="s">
        <v>398</v>
      </c>
      <c r="C93" s="26" t="s">
        <v>94</v>
      </c>
      <c r="D93" s="15" t="n">
        <v>0</v>
      </c>
      <c r="E93" s="26" t="str">
        <f aca="false">IF(D93="","No Data",INDEX('Bid Tiers (Popularity Score)'!$A$4:$A$7,MATCH(D93,'Bid Tiers (Popularity Score)'!$B$4:$B$7,1)))</f>
        <v>Tier D — Below Threshold (&lt;5)</v>
      </c>
      <c r="F93" s="27" t="n">
        <f aca="false">IF(D93="",0.25,INDEX('Bid Tiers (Popularity Score)'!$E$4:$E$7,MATCH(D93,'Bid Tiers (Popularity Score)'!$B$4:$B$7,1)))</f>
        <v>0.5</v>
      </c>
      <c r="G93" s="14"/>
    </row>
    <row r="94" customFormat="false" ht="15" hidden="false" customHeight="false" outlineLevel="0" collapsed="false">
      <c r="A94" s="25" t="s">
        <v>44</v>
      </c>
      <c r="B94" s="26" t="s">
        <v>148</v>
      </c>
      <c r="C94" s="26" t="s">
        <v>94</v>
      </c>
      <c r="D94" s="15"/>
      <c r="E94" s="26" t="str">
        <f aca="false">IF(D94="","No Data",INDEX('Bid Tiers (Popularity Score)'!$A$4:$A$7,MATCH(D94,'Bid Tiers (Popularity Score)'!$B$4:$B$7,1)))</f>
        <v>No Data</v>
      </c>
      <c r="F94" s="27" t="n">
        <f aca="false">IF(D94="",0.25,INDEX('Bid Tiers (Popularity Score)'!$E$4:$E$7,MATCH(D94,'Bid Tiers (Popularity Score)'!$B$4:$B$7,1)))</f>
        <v>0.25</v>
      </c>
      <c r="G94" s="14"/>
    </row>
    <row r="95" customFormat="false" ht="15" hidden="false" customHeight="false" outlineLevel="0" collapsed="false">
      <c r="A95" s="25" t="s">
        <v>47</v>
      </c>
      <c r="B95" s="26" t="s">
        <v>152</v>
      </c>
      <c r="C95" s="26" t="s">
        <v>94</v>
      </c>
      <c r="D95" s="15"/>
      <c r="E95" s="26" t="str">
        <f aca="false">IF(D95="","No Data",INDEX('Bid Tiers (Popularity Score)'!$A$4:$A$7,MATCH(D95,'Bid Tiers (Popularity Score)'!$B$4:$B$7,1)))</f>
        <v>No Data</v>
      </c>
      <c r="F95" s="27" t="n">
        <f aca="false">IF(D95="",0.25,INDEX('Bid Tiers (Popularity Score)'!$E$4:$E$7,MATCH(D95,'Bid Tiers (Popularity Score)'!$B$4:$B$7,1)))</f>
        <v>0.25</v>
      </c>
      <c r="G95" s="14"/>
    </row>
    <row r="96" customFormat="false" ht="15" hidden="false" customHeight="false" outlineLevel="0" collapsed="false">
      <c r="A96" s="25" t="s">
        <v>47</v>
      </c>
      <c r="B96" s="26" t="s">
        <v>153</v>
      </c>
      <c r="C96" s="26" t="s">
        <v>94</v>
      </c>
      <c r="D96" s="15"/>
      <c r="E96" s="26" t="str">
        <f aca="false">IF(D96="","No Data",INDEX('Bid Tiers (Popularity Score)'!$A$4:$A$7,MATCH(D96,'Bid Tiers (Popularity Score)'!$B$4:$B$7,1)))</f>
        <v>No Data</v>
      </c>
      <c r="F96" s="27" t="n">
        <f aca="false">IF(D96="",0.25,INDEX('Bid Tiers (Popularity Score)'!$E$4:$E$7,MATCH(D96,'Bid Tiers (Popularity Score)'!$B$4:$B$7,1)))</f>
        <v>0.25</v>
      </c>
      <c r="G96" s="14"/>
    </row>
    <row r="97" customFormat="false" ht="23.85" hidden="false" customHeight="false" outlineLevel="0" collapsed="false">
      <c r="A97" s="25" t="s">
        <v>47</v>
      </c>
      <c r="B97" s="26" t="s">
        <v>399</v>
      </c>
      <c r="C97" s="26" t="s">
        <v>94</v>
      </c>
      <c r="D97" s="15"/>
      <c r="E97" s="26" t="str">
        <f aca="false">IF(D97="","No Data",INDEX('Bid Tiers (Popularity Score)'!$A$4:$A$7,MATCH(D97,'Bid Tiers (Popularity Score)'!$B$4:$B$7,1)))</f>
        <v>No Data</v>
      </c>
      <c r="F97" s="27" t="n">
        <f aca="false">IF(D97="",0.25,INDEX('Bid Tiers (Popularity Score)'!$E$4:$E$7,MATCH(D97,'Bid Tiers (Popularity Score)'!$B$4:$B$7,1)))</f>
        <v>0.25</v>
      </c>
      <c r="G97" s="14" t="s">
        <v>400</v>
      </c>
    </row>
  </sheetData>
  <autoFilter ref="A3:G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2026-09-14T07:54:40Z</dcterms:created>
  <dc:creator>openpyxl</dc:creator>
  <dc:description/>
  <dc:language>en-US</dc:language>
  <cp:lastModifiedBy/>
  <dcterms:modified xsi:type="dcterms:W3CDTF">2026-09-14T07:54:40Z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