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Assumptions" sheetId="2" state="visible" r:id="rId4"/>
    <sheet name="CAC Model"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<sst xmlns="http://schemas.openxmlformats.org/spreadsheetml/2006/main" count="128" uniqueCount="120">
  <si>
    <t xml:space="preserve">What is CAC, and how to use this workbook</t>
  </si>
  <si>
    <t xml:space="preserve">CAC stands for Customer Acquisition Cost — the average amount you spend to turn a stranger into a paying subscriber. If you spend $1,000 on ads this month and it results in 20 people starting a paid subscription, your CAC is $50 per subscriber. Everyone who works in app growth uses this number, so it's worth having even a rough one.</t>
  </si>
  <si>
    <t xml:space="preserve">CAC only tells you half the story. The other half is LTV — Lifetime Value — how much net revenue one subscriber is worth to you over the whole time they stay subscribed, after Apple/Google take their cut and after Trybe takes its commission. The relationship between the two is what tells you whether the business works: if LTV is bigger than CAC, every subscriber you acquire is profitable over time. If CAC is bigger than LTV, you're paying more to acquire someone than they will ever bring in, and growth just burns cash. A common rule of thumb is that a healthy LTV:CAC ratio is 3:1 or better.</t>
  </si>
  <si>
    <t xml:space="preserve">For your situation specifically, 'CAC' isn't just ad spend. Every paying subscriber you get through a Trybe creator costs you three things at once: the Meta/TikTok ad spend to distribute that creator's content, the 12% commission Trybe pays the creator, and the cut Apple/Google take off every purchase (15% under their small-business program, 30% above ~$1M/year revenue). This workbook adds all three together into a 'fully-loaded cost per subscriber', not just the ad-spend-only textbook CAC, because that's the number that tells you if a creator partnership is actually worth it.</t>
  </si>
  <si>
    <t xml:space="preserve">Two things are still open questions with Trybe support (asked 20 Sept 2026 in their chat, 24-hour reply window quoted, no answer yet): (1) whether the 12% commission is charged once on a subscriber's first payment, or on every renewal payment for as long as they stay subscribed (i.e. on full LTV), and (2) whether Trybe charges Bluom any separate platform/subscription fee on top of that commission. Because this materially changes the real cost, the 'CAC Model' tab below models BOTH possibilities side by side as Scenario A and Scenario B, so you can see the cost either way and just re-check once Trybe replies.</t>
  </si>
  <si>
    <t xml:space="preserve">How to use it: open the 'Assumptions' tab. Every yellow cell with blue text is something you can and should edit — subscription price, trial conversion rate, subscriber lifetime, ad spend, and so on. Most of these are placeholders right now (flagged in the notes column) because this repo has no hardcoded price — it lives in App Store Connect / Play Console — and because you don't have live ad or retention data yet. As real numbers come in, update the yellow cells and everything on the 'CAC Model' tab recalculates automatically.</t>
  </si>
  <si>
    <t xml:space="preserve">My own take: don't wait for perfect numbers before running a small test. Get one creator's content live with a modest ad budget (a few hundred dollars), then plug the real trial-starts and conversions you actually see into this sheet — that will tell you more about your real CAC in a week than guessing further ever will. The one number I'd chase hardest right now is trial-to-paid conversion rate, since it swings the fully-loaded cost per subscriber more than anything else in here.</t>
  </si>
  <si>
    <t xml:space="preserve">Legend</t>
  </si>
  <si>
    <t xml:space="preserve">   Editable input — change this</t>
  </si>
  <si>
    <t xml:space="preserve">   Confirmed fact (verified directly in Trybe)</t>
  </si>
  <si>
    <t xml:space="preserve">   Unresolved — pending Trybe support's answer</t>
  </si>
  <si>
    <t xml:space="preserve">   Calculated automatically — don't overwrite</t>
  </si>
  <si>
    <t xml:space="preserve">Update, 22 Sept 2026: added Step 5/6 to the 'CAC Model' tab. Trybe still hasn't answered the two questions above, but you're now working on the assumption the 12% commission applies to every recurring payment (not just the first), and that Trybe likely also takes a small platform cut on top of the creator's commission (modeled at 1%, unconfirmed). Step 5 compares four candidate commission rates — 7%, 10%, 12% (current), 15% — on a per-subscriber basis; Step 6 shows the same four rates as real monthly company profit once Clerk, Convex and RevenueCat's own fees are folded in. Both live on the 'Assumptions' tab rows 25-38 and the 'CAC Model' tab from row 31 down.</t>
  </si>
  <si>
    <t xml:space="preserve">Bluom — CAC Model Assumptions</t>
  </si>
  <si>
    <t xml:space="preserve">Edit the yellow cells. Everything else recalculates on the 'CAC Model' tab.</t>
  </si>
  <si>
    <t xml:space="preserve">PRICING</t>
  </si>
  <si>
    <t xml:space="preserve">Monthly subscription price ($)</t>
  </si>
  <si>
    <t xml:space="preserve">CONFIRMED, 22 Sept 2026 (Jorge) — real Bluom Pro price, replacing the earlier $9.99 placeholder. Same price quoted to creators/Trybe partners regardless of platform.</t>
  </si>
  <si>
    <t xml:space="preserve">Annual subscription price ($)</t>
  </si>
  <si>
    <t xml:space="preserve">CONFIRMED, 22 Sept 2026 (Jorge) — real Bluom Pro annual price, replacing the earlier $59.99 placeholder. Same price quoted to creators/Trybe partners regardless of platform.</t>
  </si>
  <si>
    <t xml:space="preserve">Share of new paying subs on monthly plan</t>
  </si>
  <si>
    <t xml:space="preserve">PLACEHOLDER — estimate until you have real plan-mix data from RevenueCat.</t>
  </si>
  <si>
    <t xml:space="preserve">Share of new paying subs on annual plan</t>
  </si>
  <si>
    <t xml:space="preserve">Auto — always 1 minus the monthly share above.</t>
  </si>
  <si>
    <t xml:space="preserve">RETENTION</t>
  </si>
  <si>
    <t xml:space="preserve">Avg. subscriber lifetime before churn (months)</t>
  </si>
  <si>
    <t xml:space="preserve">PLACEHOLDER — no cohort/churn data yet. Health &amp; wellness subscription apps typically run ~10-20% monthly churn (~5-10 month avg lifetime); 4 months is a conservative early-stage guess.</t>
  </si>
  <si>
    <t xml:space="preserve">Free trial length (days)</t>
  </si>
  <si>
    <t xml:space="preserve">Reference only — not used in the cost formulas below, shown for context.</t>
  </si>
  <si>
    <t xml:space="preserve">Trial-to-paid conversion rate</t>
  </si>
  <si>
    <t xml:space="preserve">PLACEHOLDER — typical range for health/wellness apps is roughly 20-40%. This is the single biggest lever on your real cost per subscriber — replace as soon as you have live numbers.</t>
  </si>
  <si>
    <t xml:space="preserve">PLATFORM &amp; CREATOR FEES</t>
  </si>
  <si>
    <t xml:space="preserve">Apple / Google store fee</t>
  </si>
  <si>
    <t xml:space="preserve">Small Business Program rate (apps under ~$1M/year store revenue). Standard rate is 30% above that threshold — change this if/when Bluom crosses it.</t>
  </si>
  <si>
    <t xml:space="preserve">Trybe creator commission rate</t>
  </si>
  <si>
    <t xml:space="preserve">CONFIRMED — set directly in Trybe's Commission Rules (% of GMV, media type 'Both', no per-submission cap, weekly payout, Meta attribution).</t>
  </si>
  <si>
    <t xml:space="preserve">Trybe commission basis (1 = first payment only, 2 = every payment incl. renewals)</t>
  </si>
  <si>
    <t xml:space="preserve">STILL UNCONFIRMED by Trybe support (asked 20 Sept 2026, no reply yet) — but as of 22 Sept 2026 you're now modeling on the assumption it's charged on every recurring payment (full LTV), not just the first one. The 'CAC Model' tab still shows both Scenario A (first payment only) and Scenario B (recurring) side by side in Step 3/4 so you can compare either way; Step 5/6 below that use the recurring assumption throughout, since that's your working view now.</t>
  </si>
  <si>
    <t xml:space="preserve">Trybe platform/subscription fee ($/month)</t>
  </si>
  <si>
    <t xml:space="preserve">UNCONFIRMED — same question sent to Trybe support 20 Sept 2026, awaiting reply. Set to 0 for now; update once confirmed (this is a flat monthly overhead, not per-subscriber, so it isn't yet folded into the per-subscriber cost below).</t>
  </si>
  <si>
    <t xml:space="preserve">ACQUISITION / AD SPEND</t>
  </si>
  <si>
    <t xml:space="preserve">Monthly Meta + TikTok ad spend distributing creator content ($)</t>
  </si>
  <si>
    <t xml:space="preserve">PLACEHOLDER — put in your real planned or actual monthly boost/ad budget for this content.</t>
  </si>
  <si>
    <t xml:space="preserve">New paying subscribers generated per month from that spend</t>
  </si>
  <si>
    <t xml:space="preserve">PLACEHOLDER — the biggest unknown in this whole model. Once campaigns run, replace with real trial-starts x conversion-rate, or the direct number from Meta Ads Manager / RevenueCat.</t>
  </si>
  <si>
    <t xml:space="preserve">CREATOR COMMISSION RATE OPTIONS (for the sensitivity table on the CAC Model tab)</t>
  </si>
  <si>
    <t xml:space="preserve">Option 1 — lowest (e.g. Cal AI-style rate you've seen)</t>
  </si>
  <si>
    <t xml:space="preserve">EDITABLE — from your own market scan of competitor apps; Cal AI reportedly runs affiliate/creator commission around here.</t>
  </si>
  <si>
    <t xml:space="preserve">Option 2 — rate you're now leaning toward</t>
  </si>
  <si>
    <t xml:space="preserve">EDITABLE — most apps you've seen cluster around 10%; this is the rate you're considering moving to.</t>
  </si>
  <si>
    <t xml:space="preserve">Option 3 — current confirmed Trybe rate (same as above)</t>
  </si>
  <si>
    <t xml:space="preserve">Auto — always mirrors the confirmed Trybe creator commission rate set above, so the two stay in sync.</t>
  </si>
  <si>
    <t xml:space="preserve">Option 4 — high end (ecom-style, above what you'd offer)</t>
  </si>
  <si>
    <t xml:space="preserve">EDITABLE — 15%+ is typically an ecommerce/physical-product rate per your own research; SaaS margins are thinner, so this is shown as the ceiling, not a real candidate.</t>
  </si>
  <si>
    <t xml:space="preserve">TRYBE PLATFORM FEE (separate from the creator's own commission)</t>
  </si>
  <si>
    <t xml:space="preserve">Trybe platform fee, % of GMV (on top of creator commission)</t>
  </si>
  <si>
    <t xml:space="preserve">UNCONFIRMED — same open question sent to Trybe support 20 Sept 2026, still awaiting reply. You're assuming ~1% as a working placeholder so the model isn't blocked on their answer; replace the moment they confirm.</t>
  </si>
  <si>
    <t xml:space="preserve">SAAS INFRASTRUCTURE (flat/usage overhead, not per-subscriber)</t>
  </si>
  <si>
    <t xml:space="preserve">Clerk (auth) — monthly cost ($)</t>
  </si>
  <si>
    <t xml:space="preserve">CONFIRMED (Clerk's public pricing, checked 22 Sept 2026) — first 50,000 Monthly Retained Users are free on every application. Bluom is nowhere near that yet, so $0. Their Pro plan starts at $20/mo once you outgrow the free tier or need MFA/device tracking/multi-session features — update this if you upgrade. Source: clerk.com/pricing.</t>
  </si>
  <si>
    <t xml:space="preserve">Convex (backend) — monthly base cost ($)</t>
  </si>
  <si>
    <t xml:space="preserve">PLACEHOLDER (Convex's public pricing, checked 22 Sept 2026) — Free plan is $0/mo with generous limits (25M function calls, 50GB storage/mo) but Convex says it may throttle/error if you stay over for long. The Professional/Starter Plus plan is $25/mo per developer and guarantees your app keeps serving traffic under load, plus metered overage. Set to $0 if you're confident you're still comfortably inside the free limits. Source: convex.dev/pricing.</t>
  </si>
  <si>
    <t xml:space="preserve">RevenueCat fee rate above its free threshold</t>
  </si>
  <si>
    <t xml:space="preserve">CONFIRMED (RevenueCat's public pricing, checked 22 Sept 2026) — free until $2,500/mo Monthly Tracked Revenue (MTR), then 1% of MTR above that threshold, no fixed monthly minimum. Source: revenuecat.com/pricing.</t>
  </si>
  <si>
    <t xml:space="preserve">RevenueCat free threshold ($ MTR/month)</t>
  </si>
  <si>
    <t xml:space="preserve">CONFIRMED — see note above.</t>
  </si>
  <si>
    <t xml:space="preserve">Bluom — CAC Model</t>
  </si>
  <si>
    <t xml:space="preserve">Every number below flows from the 'Assumptions' tab. CAC (the cost to acquire a subscriber) is the same in both scenarios, because Trybe is paid on the first purchase either way. The open question — first payment only vs. every renewal — only changes the ongoing cost and therefore lifetime value (LTV), so it's modeled as Scenario A / Scenario B from Step 3 onward.</t>
  </si>
  <si>
    <t xml:space="preserve">STEP 1 — Blended pricing</t>
  </si>
  <si>
    <t xml:space="preserve">Blended ARPU per subscriber per month ($)</t>
  </si>
  <si>
    <t xml:space="preserve">Blended amount of a subscriber's FIRST payment ($)</t>
  </si>
  <si>
    <t xml:space="preserve">Monthly subs pay one month up front; annual subs pay the full year up front.</t>
  </si>
  <si>
    <t xml:space="preserve">STEP 2 — Acquisition cost (CAC) — same in both scenarios</t>
  </si>
  <si>
    <t xml:space="preserve">Monthly ad spend distributing creator content ($)</t>
  </si>
  <si>
    <t xml:space="preserve">New paying subscribers generated per month</t>
  </si>
  <si>
    <t xml:space="preserve">Ad spend per new subscriber ("marketing-only" CAC) ($)</t>
  </si>
  <si>
    <t xml:space="preserve">Trybe commission on that first payment ($)</t>
  </si>
  <si>
    <t xml:space="preserve">CAC — fully-loaded cost per acquired paying subscriber ($)</t>
  </si>
  <si>
    <t xml:space="preserve">Equals ad spend per subscriber + Trybe's cut of their first payment. This is what the Trybe support question was really asking for.</t>
  </si>
  <si>
    <t xml:space="preserve">Trybe platform/subscription fee, flat ($/month, not yet in CAC above)</t>
  </si>
  <si>
    <t xml:space="preserve">UNCONFIRMED with Trybe — a flat monthly cost, not per-subscriber, so kept separate.</t>
  </si>
  <si>
    <t xml:space="preserve">STEP 3 — Ongoing Trybe cost &amp; net monthly revenue (this is where the open question matters)</t>
  </si>
  <si>
    <t xml:space="preserve">Scenario A — commission on first payment only</t>
  </si>
  <si>
    <t xml:space="preserve">Scenario B — commission on every payment (full LTV)</t>
  </si>
  <si>
    <t xml:space="preserve">Ongoing Trybe commission after the first payment</t>
  </si>
  <si>
    <t xml:space="preserve">Net monthly revenue to Bluom (after store fee + ongoing Trybe cut)</t>
  </si>
  <si>
    <t xml:space="preserve">STEP 4 — Lifetime value &amp; payback</t>
  </si>
  <si>
    <t xml:space="preserve">LTV — net revenue over full subscriber lifetime ($)</t>
  </si>
  <si>
    <t xml:space="preserve">LTV : CAC ratio (3:1 or higher is generally considered healthy)</t>
  </si>
  <si>
    <t xml:space="preserve">Net profit per subscriber over lifetime ($) [LTV − CAC]</t>
  </si>
  <si>
    <t xml:space="preserve">Payback period (months) — CAC ÷ net monthly revenue</t>
  </si>
  <si>
    <t xml:space="preserve">Verdict</t>
  </si>
  <si>
    <t xml:space="preserve">Note on the approximation: Scenario B spreads Trybe's ongoing cut evenly across every month of the subscriber's lifetime for simplicity, including month 1 (whose first-payment commission is already counted once in CAC above) — directionally correct, slightly conservative, not exact to the penny. Good enough to compare the two scenarios; replace with exact numbers once you have real cohort billing data.</t>
  </si>
  <si>
    <t xml:space="preserve">STEP 5 — Per-subscriber unit economics if you change the creator commission rate</t>
  </si>
  <si>
    <t xml:space="preserve">Uses the recurring-commission assumption (Scenario B logic above) at four candidate rates, so you can see whether 10% (or lower) still clears a healthy LTV:CAC before you change anything with Trybe or creators.</t>
  </si>
  <si>
    <t xml:space="preserve">Scenario</t>
  </si>
  <si>
    <t xml:space="preserve">Option 1 — 7%</t>
  </si>
  <si>
    <t xml:space="preserve">Option 2 — 10%</t>
  </si>
  <si>
    <t xml:space="preserve">Option 3 — 12% (current)</t>
  </si>
  <si>
    <t xml:space="preserve">Option 4 — 15%</t>
  </si>
  <si>
    <t xml:space="preserve">Creator commission rate</t>
  </si>
  <si>
    <t xml:space="preserve">Trybe creator commission (per subscriber per month, $)</t>
  </si>
  <si>
    <t xml:space="preserve">Net monthly revenue per subscriber (after store fee + commission + Trybe platform fee)</t>
  </si>
  <si>
    <t xml:space="preserve">CAC — fully-loaded cost per acquired subscriber ($)</t>
  </si>
  <si>
    <t xml:space="preserve">LTV : CAC ratio (3:1+ is healthy)</t>
  </si>
  <si>
    <t xml:space="preserve">STEP 6 — Company-wide monthly P&amp;L at steady state, across the same 4 commission rates</t>
  </si>
  <si>
    <t xml:space="preserve">Steady state = new subscribers keep coming in at your current pace and old ones churn out at your current avg. lifetime, so the active base stops growing. This answers 'do I make money' in real dollars, not just per-subscriber ratios.</t>
  </si>
  <si>
    <t xml:space="preserve">Steady-state active paying subscribers</t>
  </si>
  <si>
    <t xml:space="preserve">Total monthly recurring revenue, gross ($)</t>
  </si>
  <si>
    <t xml:space="preserve">Less: Apple / Google store fee ($)</t>
  </si>
  <si>
    <t xml:space="preserve">Less: Trybe creator commission ($)</t>
  </si>
  <si>
    <t xml:space="preserve">Less: Trybe platform fee ($)</t>
  </si>
  <si>
    <t xml:space="preserve">Less: RevenueCat fee ($)</t>
  </si>
  <si>
    <t xml:space="preserve">Less: Convex ($)</t>
  </si>
  <si>
    <t xml:space="preserve">Less: Clerk ($)</t>
  </si>
  <si>
    <t xml:space="preserve">Less: Ad spend ($)</t>
  </si>
  <si>
    <t xml:space="preserve">Total monthly costs ($)</t>
  </si>
  <si>
    <t xml:space="preserve">Net monthly profit ($)</t>
  </si>
  <si>
    <t xml:space="preserve">Net margin %</t>
  </si>
  <si>
    <t xml:space="preserve">Note: revenue, store fee, RevenueCat fee, Convex, Clerk and ad spend don't change with the commission rate — only the creator-commission line (and therefore total cost and profit) does. That isolates exactly what lowering the rate is worth to you in dollars per month.</t>
  </si>
</sst>
</file>

<file path=xl/styles.xml><?xml version="1.0" encoding="utf-8"?>
<styleSheet xmlns="http://schemas.openxmlformats.org/spreadsheetml/2006/main">
  <numFmts count="9">
    <numFmt numFmtId="164" formatCode="General"/>
    <numFmt numFmtId="165" formatCode="\$#,##0.00;&quot;($&quot;#,##0.00\);\-"/>
    <numFmt numFmtId="166" formatCode="0.0%"/>
    <numFmt numFmtId="167" formatCode="0.0"/>
    <numFmt numFmtId="168" formatCode="\$#,##0;&quot;($&quot;#,##0\);\-"/>
    <numFmt numFmtId="169" formatCode="\$#,##0.00;&quot;($&quot;#,##0.00\);\-"/>
    <numFmt numFmtId="170" formatCode="General"/>
    <numFmt numFmtId="171" formatCode="0.00\x"/>
    <numFmt numFmtId="172" formatCode="0"/>
  </numFmts>
  <fonts count="12">
    <font>
      <sz val="11"/>
      <color theme="1"/>
      <name val="Calibri"/>
      <family val="2"/>
      <charset val="1"/>
    </font>
    <font>
      <sz val="10"/>
      <name val="Arial"/>
      <family val="0"/>
    </font>
    <font>
      <sz val="10"/>
      <name val="Arial"/>
      <family val="0"/>
    </font>
    <font>
      <sz val="10"/>
      <name val="Arial"/>
      <family val="0"/>
    </font>
    <font>
      <b val="true"/>
      <sz val="16"/>
      <color rgb="FF2B2B2B"/>
      <name val="Arial"/>
      <family val="0"/>
      <charset val="1"/>
    </font>
    <font>
      <sz val="10.5"/>
      <color rgb="FF000000"/>
      <name val="Arial"/>
      <family val="0"/>
      <charset val="1"/>
    </font>
    <font>
      <b val="true"/>
      <sz val="10.5"/>
      <color rgb="FF000000"/>
      <name val="Arial"/>
      <family val="0"/>
      <charset val="1"/>
    </font>
    <font>
      <b val="true"/>
      <sz val="10.5"/>
      <color rgb="FF0000FF"/>
      <name val="Arial"/>
      <family val="0"/>
      <charset val="1"/>
    </font>
    <font>
      <i val="true"/>
      <sz val="9"/>
      <color rgb="FF666666"/>
      <name val="Arial"/>
      <family val="0"/>
      <charset val="1"/>
    </font>
    <font>
      <b val="true"/>
      <sz val="12"/>
      <color rgb="FFFFFFFF"/>
      <name val="Arial"/>
      <family val="0"/>
      <charset val="1"/>
    </font>
    <font>
      <sz val="10.5"/>
      <color rgb="FF008000"/>
      <name val="Arial"/>
      <family val="0"/>
      <charset val="1"/>
    </font>
    <font>
      <b val="true"/>
      <sz val="11.5"/>
      <color rgb="FF000000"/>
      <name val="Arial"/>
      <family val="0"/>
      <charset val="1"/>
    </font>
  </fonts>
  <fills count="9">
    <fill>
      <patternFill patternType="none"/>
    </fill>
    <fill>
      <patternFill patternType="gray125"/>
    </fill>
    <fill>
      <patternFill patternType="solid">
        <fgColor rgb="FFFFFF00"/>
        <bgColor rgb="FFFFFF00"/>
      </patternFill>
    </fill>
    <fill>
      <patternFill patternType="solid">
        <fgColor rgb="FFD9EAD3"/>
        <bgColor rgb="FFFCE5CD"/>
      </patternFill>
    </fill>
    <fill>
      <patternFill patternType="solid">
        <fgColor rgb="FFFCE5CD"/>
        <bgColor rgb="FFEAD1DC"/>
      </patternFill>
    </fill>
    <fill>
      <patternFill patternType="solid">
        <fgColor rgb="FF4B3F72"/>
        <bgColor rgb="FF2B2B2B"/>
      </patternFill>
    </fill>
    <fill>
      <patternFill patternType="solid">
        <fgColor rgb="FFEAD1DC"/>
        <bgColor rgb="FFF4CCCC"/>
      </patternFill>
    </fill>
    <fill>
      <patternFill patternType="solid">
        <fgColor rgb="FFD9D2E9"/>
        <bgColor rgb="FFEAD1DC"/>
      </patternFill>
    </fill>
    <fill>
      <patternFill patternType="solid">
        <fgColor rgb="FFF4CCCC"/>
        <bgColor rgb="FFEAD1DC"/>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general" vertical="bottom" textRotation="0" wrapText="false" indent="0" shrinkToFit="false"/>
      <protection locked="true" hidden="false"/>
    </xf>
    <xf numFmtId="164" fontId="0" fillId="3" borderId="0" xfId="0" applyFont="true" applyBorder="false" applyAlignment="true" applyProtection="false">
      <alignment horizontal="general" vertical="bottom" textRotation="0" wrapText="false" indent="0" shrinkToFit="false"/>
      <protection locked="true" hidden="false"/>
    </xf>
    <xf numFmtId="164" fontId="0" fillId="4"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9" fillId="5" borderId="0" xfId="0" applyFont="true" applyBorder="true" applyAlignment="true" applyProtection="false">
      <alignment horizontal="general" vertical="center" textRotation="0" wrapText="false" indent="1" shrinkToFit="false"/>
      <protection locked="true" hidden="false"/>
    </xf>
    <xf numFmtId="165" fontId="7" fillId="3" borderId="0" xfId="0" applyFont="true" applyBorder="false" applyAlignment="true" applyProtection="false">
      <alignment horizontal="general" vertical="bottom" textRotation="0" wrapText="false" indent="0" shrinkToFit="false"/>
      <protection locked="true" hidden="false"/>
    </xf>
    <xf numFmtId="166" fontId="7" fillId="2" borderId="0" xfId="0" applyFont="true" applyBorder="false" applyAlignment="true" applyProtection="false">
      <alignment horizontal="general" vertical="bottom" textRotation="0" wrapText="false" indent="0" shrinkToFit="false"/>
      <protection locked="true" hidden="false"/>
    </xf>
    <xf numFmtId="166" fontId="5" fillId="0" borderId="0" xfId="0" applyFont="true" applyBorder="false" applyAlignment="true" applyProtection="false">
      <alignment horizontal="general" vertical="bottom" textRotation="0" wrapText="false" indent="0" shrinkToFit="false"/>
      <protection locked="true" hidden="false"/>
    </xf>
    <xf numFmtId="167" fontId="7" fillId="2" borderId="0" xfId="0" applyFont="true" applyBorder="false" applyAlignment="true" applyProtection="false">
      <alignment horizontal="general" vertical="bottom" textRotation="0" wrapText="false" indent="0" shrinkToFit="false"/>
      <protection locked="true" hidden="false"/>
    </xf>
    <xf numFmtId="166" fontId="7" fillId="3" borderId="0" xfId="0" applyFont="true" applyBorder="false" applyAlignment="true" applyProtection="false">
      <alignment horizontal="general" vertical="bottom" textRotation="0" wrapText="false" indent="0" shrinkToFit="false"/>
      <protection locked="true" hidden="false"/>
    </xf>
    <xf numFmtId="164" fontId="7" fillId="4" borderId="0" xfId="0" applyFont="true" applyBorder="false" applyAlignment="true" applyProtection="false">
      <alignment horizontal="general" vertical="bottom" textRotation="0" wrapText="false" indent="0" shrinkToFit="false"/>
      <protection locked="true" hidden="false"/>
    </xf>
    <xf numFmtId="168" fontId="7" fillId="4" borderId="0" xfId="0" applyFont="true" applyBorder="false" applyAlignment="true" applyProtection="false">
      <alignment horizontal="general" vertical="bottom" textRotation="0" wrapText="false" indent="0" shrinkToFit="false"/>
      <protection locked="true" hidden="false"/>
    </xf>
    <xf numFmtId="168" fontId="7" fillId="2" borderId="0" xfId="0" applyFont="true" applyBorder="false" applyAlignment="true" applyProtection="false">
      <alignment horizontal="general" vertical="bottom" textRotation="0" wrapText="false" indent="0" shrinkToFit="false"/>
      <protection locked="true" hidden="false"/>
    </xf>
    <xf numFmtId="166" fontId="7" fillId="4" borderId="0" xfId="0" applyFont="true" applyBorder="false" applyAlignment="true" applyProtection="false">
      <alignment horizontal="general" vertical="bottom" textRotation="0" wrapText="false" indent="0" shrinkToFit="false"/>
      <protection locked="true" hidden="false"/>
    </xf>
    <xf numFmtId="168" fontId="7" fillId="3"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9" fontId="5" fillId="0" borderId="0" xfId="0" applyFont="true" applyBorder="false" applyAlignment="true" applyProtection="false">
      <alignment horizontal="general" vertical="bottom" textRotation="0" wrapText="false" indent="0" shrinkToFit="false"/>
      <protection locked="true" hidden="false"/>
    </xf>
    <xf numFmtId="168" fontId="10" fillId="0" borderId="0" xfId="0" applyFont="true" applyBorder="false" applyAlignment="true" applyProtection="false">
      <alignment horizontal="general" vertical="bottom" textRotation="0" wrapText="false" indent="0" shrinkToFit="false"/>
      <protection locked="true" hidden="false"/>
    </xf>
    <xf numFmtId="170" fontId="10" fillId="0" borderId="0" xfId="0" applyFont="true" applyBorder="false" applyAlignment="true" applyProtection="false">
      <alignment horizontal="general" vertical="bottom" textRotation="0" wrapText="false" indent="0" shrinkToFit="false"/>
      <protection locked="true" hidden="false"/>
    </xf>
    <xf numFmtId="164" fontId="11" fillId="6" borderId="0" xfId="0" applyFont="true" applyBorder="false" applyAlignment="true" applyProtection="false">
      <alignment horizontal="general" vertical="bottom" textRotation="0" wrapText="false" indent="0" shrinkToFit="false"/>
      <protection locked="true" hidden="false"/>
    </xf>
    <xf numFmtId="169" fontId="11" fillId="6" borderId="0" xfId="0" applyFont="true" applyBorder="false" applyAlignment="true" applyProtection="false">
      <alignment horizontal="general" vertical="bottom" textRotation="0" wrapText="false" indent="0" shrinkToFit="false"/>
      <protection locked="true" hidden="false"/>
    </xf>
    <xf numFmtId="164" fontId="6" fillId="7" borderId="0" xfId="0" applyFont="true" applyBorder="false" applyAlignment="true" applyProtection="false">
      <alignment horizontal="general" vertical="top" textRotation="0" wrapText="true" indent="0" shrinkToFit="false"/>
      <protection locked="true" hidden="false"/>
    </xf>
    <xf numFmtId="164" fontId="6" fillId="8" borderId="0" xfId="0" applyFont="true" applyBorder="false" applyAlignment="true" applyProtection="false">
      <alignment horizontal="general" vertical="top" textRotation="0" wrapText="true" indent="0" shrinkToFit="false"/>
      <protection locked="true" hidden="false"/>
    </xf>
    <xf numFmtId="169" fontId="5" fillId="7" borderId="0" xfId="0" applyFont="true" applyBorder="false" applyAlignment="true" applyProtection="false">
      <alignment horizontal="general" vertical="bottom" textRotation="0" wrapText="false" indent="0" shrinkToFit="false"/>
      <protection locked="true" hidden="false"/>
    </xf>
    <xf numFmtId="169" fontId="5" fillId="8" borderId="0" xfId="0" applyFont="true" applyBorder="false" applyAlignment="true" applyProtection="false">
      <alignment horizontal="general" vertical="bottom" textRotation="0" wrapText="false" indent="0" shrinkToFit="false"/>
      <protection locked="true" hidden="false"/>
    </xf>
    <xf numFmtId="164" fontId="11" fillId="6" borderId="0" xfId="0" applyFont="true" applyBorder="false" applyAlignment="true" applyProtection="false">
      <alignment horizontal="general" vertical="top" textRotation="0" wrapText="true" indent="0" shrinkToFit="false"/>
      <protection locked="true" hidden="false"/>
    </xf>
    <xf numFmtId="171" fontId="11" fillId="6" borderId="0" xfId="0" applyFont="true" applyBorder="false" applyAlignment="true" applyProtection="false">
      <alignment horizontal="general" vertical="bottom" textRotation="0" wrapText="false" indent="0" shrinkToFit="false"/>
      <protection locked="true" hidden="false"/>
    </xf>
    <xf numFmtId="167" fontId="5" fillId="0" borderId="0" xfId="0" applyFont="true" applyBorder="false" applyAlignment="true" applyProtection="false">
      <alignment horizontal="general" vertical="bottom" textRotation="0" wrapText="false" indent="0" shrinkToFit="false"/>
      <protection locked="true" hidden="false"/>
    </xf>
    <xf numFmtId="166" fontId="10" fillId="0" borderId="0" xfId="0" applyFont="true" applyBorder="false" applyAlignment="true" applyProtection="false">
      <alignment horizontal="general" vertical="bottom" textRotation="0" wrapText="false" indent="0" shrinkToFit="false"/>
      <protection locked="true" hidden="false"/>
    </xf>
    <xf numFmtId="172" fontId="5" fillId="0" borderId="0" xfId="0" applyFont="true" applyBorder="false" applyAlignment="true" applyProtection="false">
      <alignment horizontal="general" vertical="bottom" textRotation="0" wrapText="false" indent="0" shrinkToFit="false"/>
      <protection locked="true" hidden="false"/>
    </xf>
    <xf numFmtId="168" fontId="5" fillId="0" borderId="0" xfId="0" applyFont="true" applyBorder="false" applyAlignment="true" applyProtection="false">
      <alignment horizontal="general" vertical="bottom" textRotation="0" wrapText="false" indent="0" shrinkToFit="false"/>
      <protection locked="true" hidden="false"/>
    </xf>
    <xf numFmtId="168" fontId="11" fillId="6" borderId="0" xfId="0" applyFont="true" applyBorder="false" applyAlignment="true" applyProtection="false">
      <alignment horizontal="general" vertical="bottom" textRotation="0" wrapText="false" indent="0" shrinkToFit="false"/>
      <protection locked="true" hidden="false"/>
    </xf>
    <xf numFmtId="166" fontId="11" fillId="6"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EAD1DC"/>
      <rgbColor rgb="FF808080"/>
      <rgbColor rgb="FF9999FF"/>
      <rgbColor rgb="FF993366"/>
      <rgbColor rgb="FFFCE5CD"/>
      <rgbColor rgb="FFCCFFFF"/>
      <rgbColor rgb="FF660066"/>
      <rgbColor rgb="FFFF8080"/>
      <rgbColor rgb="FF0066CC"/>
      <rgbColor rgb="FFD9D2E9"/>
      <rgbColor rgb="FF000080"/>
      <rgbColor rgb="FFFF00FF"/>
      <rgbColor rgb="FFFFFF00"/>
      <rgbColor rgb="FF00FFFF"/>
      <rgbColor rgb="FF800080"/>
      <rgbColor rgb="FF800000"/>
      <rgbColor rgb="FF008080"/>
      <rgbColor rgb="FF0000FF"/>
      <rgbColor rgb="FF00CCFF"/>
      <rgbColor rgb="FFCCFFFF"/>
      <rgbColor rgb="FFD9EAD3"/>
      <rgbColor rgb="FFFFFF99"/>
      <rgbColor rgb="FF99CCFF"/>
      <rgbColor rgb="FFFF99CC"/>
      <rgbColor rgb="FFCC99FF"/>
      <rgbColor rgb="FFF4CCCC"/>
      <rgbColor rgb="FF3366FF"/>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4B3F72"/>
      <rgbColor rgb="FF2B2B2B"/>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08"/>
  </cols>
  <sheetData>
    <row r="1" customFormat="false" ht="19.5" hidden="false" customHeight="true" outlineLevel="0" collapsed="false">
      <c r="A1" s="2" t="s">
        <v>0</v>
      </c>
    </row>
    <row r="3" customFormat="false" ht="79.5" hidden="false" customHeight="true" outlineLevel="0" collapsed="false">
      <c r="A3" s="3" t="s">
        <v>1</v>
      </c>
    </row>
    <row r="5" customFormat="false" ht="79.5" hidden="false" customHeight="true" outlineLevel="0" collapsed="false">
      <c r="A5" s="3" t="s">
        <v>2</v>
      </c>
    </row>
    <row r="7" customFormat="false" ht="79.5" hidden="false" customHeight="true" outlineLevel="0" collapsed="false">
      <c r="A7" s="3" t="s">
        <v>3</v>
      </c>
    </row>
    <row r="9" customFormat="false" ht="79.5" hidden="false" customHeight="true" outlineLevel="0" collapsed="false">
      <c r="A9" s="3" t="s">
        <v>4</v>
      </c>
    </row>
    <row r="11" customFormat="false" ht="79.5" hidden="false" customHeight="true" outlineLevel="0" collapsed="false">
      <c r="A11" s="3" t="s">
        <v>5</v>
      </c>
    </row>
    <row r="13" customFormat="false" ht="79.5" hidden="false" customHeight="true" outlineLevel="0" collapsed="false">
      <c r="A13" s="3" t="s">
        <v>6</v>
      </c>
    </row>
    <row r="16" customFormat="false" ht="15" hidden="false" customHeight="true" outlineLevel="0" collapsed="false">
      <c r="A16" s="4" t="s">
        <v>7</v>
      </c>
    </row>
    <row r="17" customFormat="false" ht="15" hidden="false" customHeight="true" outlineLevel="0" collapsed="false">
      <c r="A17" s="5" t="s">
        <v>8</v>
      </c>
    </row>
    <row r="18" customFormat="false" ht="15" hidden="false" customHeight="true" outlineLevel="0" collapsed="false">
      <c r="A18" s="6" t="s">
        <v>9</v>
      </c>
    </row>
    <row r="19" customFormat="false" ht="15" hidden="false" customHeight="true" outlineLevel="0" collapsed="false">
      <c r="A19" s="7" t="s">
        <v>10</v>
      </c>
    </row>
    <row r="20" customFormat="false" ht="15" hidden="false" customHeight="true" outlineLevel="0" collapsed="false">
      <c r="A20" s="8" t="s">
        <v>11</v>
      </c>
    </row>
    <row r="22" customFormat="false" ht="72.75" hidden="false" customHeight="true" outlineLevel="0" collapsed="false">
      <c r="A22" s="3" t="s">
        <v>12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6"/>
    <col collapsed="false" customWidth="true" hidden="false" outlineLevel="0" max="2" min="2" style="1" width="14"/>
    <col collapsed="false" customWidth="true" hidden="false" outlineLevel="0" max="3" min="3" style="1" width="62"/>
  </cols>
  <sheetData>
    <row r="1" customFormat="false" ht="19.5" hidden="false" customHeight="true" outlineLevel="0" collapsed="false">
      <c r="A1" s="2" t="s">
        <v>13</v>
      </c>
    </row>
    <row r="2" customFormat="false" ht="15" hidden="false" customHeight="true" outlineLevel="0" collapsed="false">
      <c r="A2" s="9" t="s">
        <v>14</v>
      </c>
    </row>
    <row r="4" customFormat="false" ht="19.5" hidden="false" customHeight="true" outlineLevel="0" collapsed="false">
      <c r="A4" s="10" t="s">
        <v>15</v>
      </c>
      <c r="B4" s="10"/>
      <c r="C4" s="10"/>
    </row>
    <row r="5" customFormat="false" ht="15" hidden="false" customHeight="true" outlineLevel="0" collapsed="false">
      <c r="A5" s="8" t="s">
        <v>16</v>
      </c>
      <c r="B5" s="11" t="n">
        <v>12.99</v>
      </c>
      <c r="C5" s="9" t="s">
        <v>17</v>
      </c>
    </row>
    <row r="6" customFormat="false" ht="15" hidden="false" customHeight="true" outlineLevel="0" collapsed="false">
      <c r="A6" s="8" t="s">
        <v>18</v>
      </c>
      <c r="B6" s="11" t="n">
        <v>69.99</v>
      </c>
      <c r="C6" s="9" t="s">
        <v>19</v>
      </c>
    </row>
    <row r="7" customFormat="false" ht="15" hidden="false" customHeight="true" outlineLevel="0" collapsed="false">
      <c r="A7" s="8" t="s">
        <v>20</v>
      </c>
      <c r="B7" s="12" t="n">
        <v>0.7</v>
      </c>
      <c r="C7" s="9" t="s">
        <v>21</v>
      </c>
    </row>
    <row r="8" customFormat="false" ht="15" hidden="false" customHeight="true" outlineLevel="0" collapsed="false">
      <c r="A8" s="8" t="s">
        <v>22</v>
      </c>
      <c r="B8" s="13" t="n">
        <f aca="false">1-B7</f>
        <v>0.3</v>
      </c>
      <c r="C8" s="9" t="s">
        <v>23</v>
      </c>
    </row>
    <row r="10" customFormat="false" ht="19.5" hidden="false" customHeight="true" outlineLevel="0" collapsed="false">
      <c r="A10" s="10" t="s">
        <v>24</v>
      </c>
      <c r="B10" s="10"/>
      <c r="C10" s="10"/>
    </row>
    <row r="11" customFormat="false" ht="15" hidden="false" customHeight="true" outlineLevel="0" collapsed="false">
      <c r="A11" s="8" t="s">
        <v>25</v>
      </c>
      <c r="B11" s="14" t="n">
        <v>4</v>
      </c>
      <c r="C11" s="9" t="s">
        <v>26</v>
      </c>
    </row>
    <row r="12" customFormat="false" ht="15" hidden="false" customHeight="true" outlineLevel="0" collapsed="false">
      <c r="A12" s="8" t="s">
        <v>27</v>
      </c>
      <c r="B12" s="5" t="n">
        <v>7</v>
      </c>
      <c r="C12" s="9" t="s">
        <v>28</v>
      </c>
    </row>
    <row r="13" customFormat="false" ht="15" hidden="false" customHeight="true" outlineLevel="0" collapsed="false">
      <c r="A13" s="8" t="s">
        <v>29</v>
      </c>
      <c r="B13" s="12" t="n">
        <v>0.3</v>
      </c>
      <c r="C13" s="9" t="s">
        <v>30</v>
      </c>
    </row>
    <row r="15" customFormat="false" ht="19.5" hidden="false" customHeight="true" outlineLevel="0" collapsed="false">
      <c r="A15" s="10" t="s">
        <v>31</v>
      </c>
      <c r="B15" s="10"/>
      <c r="C15" s="10"/>
    </row>
    <row r="16" customFormat="false" ht="15" hidden="false" customHeight="true" outlineLevel="0" collapsed="false">
      <c r="A16" s="8" t="s">
        <v>32</v>
      </c>
      <c r="B16" s="12" t="n">
        <v>0.15</v>
      </c>
      <c r="C16" s="9" t="s">
        <v>33</v>
      </c>
    </row>
    <row r="17" customFormat="false" ht="15" hidden="false" customHeight="true" outlineLevel="0" collapsed="false">
      <c r="A17" s="8" t="s">
        <v>34</v>
      </c>
      <c r="B17" s="15" t="n">
        <v>0.12</v>
      </c>
      <c r="C17" s="9" t="s">
        <v>35</v>
      </c>
    </row>
    <row r="18" customFormat="false" ht="27.75" hidden="false" customHeight="true" outlineLevel="0" collapsed="false">
      <c r="A18" s="3" t="s">
        <v>36</v>
      </c>
      <c r="B18" s="16" t="n">
        <v>2</v>
      </c>
      <c r="C18" s="9" t="s">
        <v>37</v>
      </c>
    </row>
    <row r="19" customFormat="false" ht="15" hidden="false" customHeight="true" outlineLevel="0" collapsed="false">
      <c r="A19" s="8" t="s">
        <v>38</v>
      </c>
      <c r="B19" s="17" t="n">
        <v>0</v>
      </c>
      <c r="C19" s="9" t="s">
        <v>39</v>
      </c>
    </row>
    <row r="21" customFormat="false" ht="19.5" hidden="false" customHeight="true" outlineLevel="0" collapsed="false">
      <c r="A21" s="10" t="s">
        <v>40</v>
      </c>
      <c r="B21" s="10"/>
      <c r="C21" s="10"/>
    </row>
    <row r="22" customFormat="false" ht="27.75" hidden="false" customHeight="true" outlineLevel="0" collapsed="false">
      <c r="A22" s="3" t="s">
        <v>41</v>
      </c>
      <c r="B22" s="18" t="n">
        <v>1000</v>
      </c>
      <c r="C22" s="9" t="s">
        <v>42</v>
      </c>
    </row>
    <row r="23" customFormat="false" ht="27.75" hidden="false" customHeight="true" outlineLevel="0" collapsed="false">
      <c r="A23" s="3" t="s">
        <v>43</v>
      </c>
      <c r="B23" s="5" t="n">
        <v>20</v>
      </c>
      <c r="C23" s="9" t="s">
        <v>44</v>
      </c>
    </row>
    <row r="25" customFormat="false" ht="15" hidden="false" customHeight="true" outlineLevel="0" collapsed="false">
      <c r="A25" s="10" t="s">
        <v>45</v>
      </c>
      <c r="B25" s="10"/>
      <c r="C25" s="10"/>
    </row>
    <row r="26" customFormat="false" ht="15" hidden="false" customHeight="true" outlineLevel="0" collapsed="false">
      <c r="A26" s="8" t="s">
        <v>46</v>
      </c>
      <c r="B26" s="12" t="n">
        <v>0.07</v>
      </c>
      <c r="C26" s="9" t="s">
        <v>47</v>
      </c>
    </row>
    <row r="27" customFormat="false" ht="15" hidden="false" customHeight="true" outlineLevel="0" collapsed="false">
      <c r="A27" s="8" t="s">
        <v>48</v>
      </c>
      <c r="B27" s="12" t="n">
        <v>0.1</v>
      </c>
      <c r="C27" s="9" t="s">
        <v>49</v>
      </c>
    </row>
    <row r="28" customFormat="false" ht="15" hidden="false" customHeight="true" outlineLevel="0" collapsed="false">
      <c r="A28" s="8" t="s">
        <v>50</v>
      </c>
      <c r="B28" s="13" t="n">
        <f aca="false">B17</f>
        <v>0.12</v>
      </c>
      <c r="C28" s="9" t="s">
        <v>51</v>
      </c>
    </row>
    <row r="29" customFormat="false" ht="15" hidden="false" customHeight="true" outlineLevel="0" collapsed="false">
      <c r="A29" s="8" t="s">
        <v>52</v>
      </c>
      <c r="B29" s="12" t="n">
        <v>0.15</v>
      </c>
      <c r="C29" s="9" t="s">
        <v>53</v>
      </c>
    </row>
    <row r="31" customFormat="false" ht="15" hidden="false" customHeight="true" outlineLevel="0" collapsed="false">
      <c r="A31" s="10" t="s">
        <v>54</v>
      </c>
      <c r="B31" s="10"/>
      <c r="C31" s="10"/>
    </row>
    <row r="32" customFormat="false" ht="15" hidden="false" customHeight="true" outlineLevel="0" collapsed="false">
      <c r="A32" s="8" t="s">
        <v>55</v>
      </c>
      <c r="B32" s="19" t="n">
        <v>0.01</v>
      </c>
      <c r="C32" s="9" t="s">
        <v>56</v>
      </c>
    </row>
    <row r="34" customFormat="false" ht="15" hidden="false" customHeight="true" outlineLevel="0" collapsed="false">
      <c r="A34" s="10" t="s">
        <v>57</v>
      </c>
      <c r="B34" s="10"/>
      <c r="C34" s="10"/>
    </row>
    <row r="35" customFormat="false" ht="15" hidden="false" customHeight="true" outlineLevel="0" collapsed="false">
      <c r="A35" s="8" t="s">
        <v>58</v>
      </c>
      <c r="B35" s="20" t="n">
        <v>0</v>
      </c>
      <c r="C35" s="9" t="s">
        <v>59</v>
      </c>
    </row>
    <row r="36" customFormat="false" ht="15" hidden="false" customHeight="true" outlineLevel="0" collapsed="false">
      <c r="A36" s="8" t="s">
        <v>60</v>
      </c>
      <c r="B36" s="18" t="n">
        <v>25</v>
      </c>
      <c r="C36" s="9" t="s">
        <v>61</v>
      </c>
    </row>
    <row r="37" customFormat="false" ht="15" hidden="false" customHeight="true" outlineLevel="0" collapsed="false">
      <c r="A37" s="8" t="s">
        <v>62</v>
      </c>
      <c r="B37" s="15" t="n">
        <v>0.01</v>
      </c>
      <c r="C37" s="9" t="s">
        <v>63</v>
      </c>
    </row>
    <row r="38" customFormat="false" ht="15" hidden="false" customHeight="true" outlineLevel="0" collapsed="false">
      <c r="A38" s="8" t="s">
        <v>64</v>
      </c>
      <c r="B38" s="20" t="n">
        <v>2500</v>
      </c>
      <c r="C38" s="9" t="s">
        <v>65</v>
      </c>
    </row>
  </sheetData>
  <mergeCells count="7">
    <mergeCell ref="A4:C4"/>
    <mergeCell ref="A10:C10"/>
    <mergeCell ref="A15:C15"/>
    <mergeCell ref="A21:C21"/>
    <mergeCell ref="A25:C25"/>
    <mergeCell ref="A31:C31"/>
    <mergeCell ref="A34:C3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6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56"/>
    <col collapsed="false" customWidth="true" hidden="false" outlineLevel="0" max="3" min="2" style="1" width="30"/>
    <col collapsed="false" customWidth="true" hidden="false" outlineLevel="0" max="5" min="4" style="1" width="15"/>
  </cols>
  <sheetData>
    <row r="1" customFormat="false" ht="19.5" hidden="false" customHeight="true" outlineLevel="0" collapsed="false">
      <c r="A1" s="2" t="s">
        <v>66</v>
      </c>
    </row>
    <row r="2" customFormat="false" ht="42" hidden="false" customHeight="true" outlineLevel="0" collapsed="false">
      <c r="A2" s="21" t="s">
        <v>67</v>
      </c>
      <c r="B2" s="21"/>
      <c r="C2" s="21"/>
    </row>
    <row r="4" customFormat="false" ht="19.5" hidden="false" customHeight="true" outlineLevel="0" collapsed="false">
      <c r="A4" s="10" t="s">
        <v>68</v>
      </c>
      <c r="B4" s="10"/>
      <c r="C4" s="10"/>
    </row>
    <row r="5" customFormat="false" ht="15" hidden="false" customHeight="true" outlineLevel="0" collapsed="false">
      <c r="A5" s="8" t="s">
        <v>69</v>
      </c>
      <c r="B5" s="22" t="n">
        <f aca="false">(Assumptions!B5*Assumptions!B7)+(Assumptions!B6/12*Assumptions!B8)</f>
        <v>10.84275</v>
      </c>
    </row>
    <row r="6" customFormat="false" ht="15" hidden="false" customHeight="true" outlineLevel="0" collapsed="false">
      <c r="A6" s="8" t="s">
        <v>70</v>
      </c>
      <c r="B6" s="22" t="n">
        <f aca="false">(Assumptions!B5*Assumptions!B7)+(Assumptions!B6*Assumptions!B8)</f>
        <v>30.09</v>
      </c>
      <c r="C6" s="9" t="s">
        <v>71</v>
      </c>
    </row>
    <row r="8" customFormat="false" ht="19.5" hidden="false" customHeight="true" outlineLevel="0" collapsed="false">
      <c r="A8" s="10" t="s">
        <v>72</v>
      </c>
      <c r="B8" s="10"/>
      <c r="C8" s="10"/>
    </row>
    <row r="9" customFormat="false" ht="15" hidden="false" customHeight="true" outlineLevel="0" collapsed="false">
      <c r="A9" s="8" t="s">
        <v>73</v>
      </c>
      <c r="B9" s="23" t="n">
        <f aca="false">Assumptions!B22</f>
        <v>1000</v>
      </c>
    </row>
    <row r="10" customFormat="false" ht="15" hidden="false" customHeight="true" outlineLevel="0" collapsed="false">
      <c r="A10" s="8" t="s">
        <v>74</v>
      </c>
      <c r="B10" s="24" t="n">
        <f aca="false">Assumptions!B23</f>
        <v>20</v>
      </c>
    </row>
    <row r="11" customFormat="false" ht="15" hidden="false" customHeight="true" outlineLevel="0" collapsed="false">
      <c r="A11" s="8" t="s">
        <v>75</v>
      </c>
      <c r="B11" s="22" t="n">
        <f aca="false">B9/B10</f>
        <v>50</v>
      </c>
    </row>
    <row r="12" customFormat="false" ht="15" hidden="false" customHeight="true" outlineLevel="0" collapsed="false">
      <c r="A12" s="8" t="s">
        <v>76</v>
      </c>
      <c r="B12" s="22" t="n">
        <f aca="false">B6*Assumptions!B17</f>
        <v>3.6108</v>
      </c>
    </row>
    <row r="13" customFormat="false" ht="15" hidden="false" customHeight="true" outlineLevel="0" collapsed="false">
      <c r="A13" s="25" t="s">
        <v>77</v>
      </c>
      <c r="B13" s="26" t="n">
        <f aca="false">B11+B12</f>
        <v>53.6108</v>
      </c>
      <c r="C13" s="9" t="s">
        <v>78</v>
      </c>
    </row>
    <row r="14" customFormat="false" ht="15" hidden="false" customHeight="true" outlineLevel="0" collapsed="false">
      <c r="A14" s="8" t="s">
        <v>79</v>
      </c>
      <c r="B14" s="23" t="n">
        <f aca="false">Assumptions!B19</f>
        <v>0</v>
      </c>
      <c r="C14" s="9" t="s">
        <v>80</v>
      </c>
    </row>
    <row r="16" customFormat="false" ht="19.5" hidden="false" customHeight="true" outlineLevel="0" collapsed="false">
      <c r="A16" s="10" t="s">
        <v>81</v>
      </c>
      <c r="B16" s="10"/>
      <c r="C16" s="10"/>
    </row>
    <row r="17" customFormat="false" ht="30" hidden="false" customHeight="true" outlineLevel="0" collapsed="false">
      <c r="B17" s="27" t="s">
        <v>82</v>
      </c>
      <c r="C17" s="28" t="s">
        <v>83</v>
      </c>
    </row>
    <row r="18" customFormat="false" ht="15" hidden="false" customHeight="true" outlineLevel="0" collapsed="false">
      <c r="A18" s="3" t="s">
        <v>84</v>
      </c>
      <c r="B18" s="29" t="n">
        <v>0</v>
      </c>
      <c r="C18" s="30" t="n">
        <f aca="false">B5*Assumptions!B17</f>
        <v>1.30113</v>
      </c>
    </row>
    <row r="19" customFormat="false" ht="24.75" hidden="false" customHeight="true" outlineLevel="0" collapsed="false">
      <c r="A19" s="3" t="s">
        <v>85</v>
      </c>
      <c r="B19" s="29" t="n">
        <f aca="false">B5*(1-Assumptions!B16)</f>
        <v>9.2163375</v>
      </c>
      <c r="C19" s="30" t="n">
        <f aca="false">B5*(1-Assumptions!B16-Assumptions!B17)</f>
        <v>7.9152075</v>
      </c>
    </row>
    <row r="21" customFormat="false" ht="19.5" hidden="false" customHeight="true" outlineLevel="0" collapsed="false">
      <c r="A21" s="10" t="s">
        <v>86</v>
      </c>
      <c r="B21" s="10"/>
      <c r="C21" s="10"/>
    </row>
    <row r="22" customFormat="false" ht="15" hidden="false" customHeight="true" outlineLevel="0" collapsed="false">
      <c r="A22" s="8" t="s">
        <v>87</v>
      </c>
      <c r="B22" s="29" t="n">
        <f aca="false">B19*Assumptions!B11</f>
        <v>36.86535</v>
      </c>
      <c r="C22" s="30" t="n">
        <f aca="false">C19*Assumptions!B11</f>
        <v>31.66083</v>
      </c>
    </row>
    <row r="23" customFormat="false" ht="26.25" hidden="false" customHeight="true" outlineLevel="0" collapsed="false">
      <c r="A23" s="31" t="s">
        <v>88</v>
      </c>
      <c r="B23" s="32" t="n">
        <f aca="false">B22/$B$13</f>
        <v>0.68764782469204</v>
      </c>
      <c r="C23" s="32" t="n">
        <f aca="false">C22/$B$13</f>
        <v>0.59056813179434</v>
      </c>
    </row>
    <row r="24" customFormat="false" ht="15" hidden="false" customHeight="true" outlineLevel="0" collapsed="false">
      <c r="A24" s="8" t="s">
        <v>89</v>
      </c>
      <c r="B24" s="22" t="n">
        <f aca="false">B22-$B$13</f>
        <v>-16.74545</v>
      </c>
      <c r="C24" s="22" t="n">
        <f aca="false">C22-$B$13</f>
        <v>-21.94997</v>
      </c>
    </row>
    <row r="25" customFormat="false" ht="15" hidden="false" customHeight="true" outlineLevel="0" collapsed="false">
      <c r="A25" s="8" t="s">
        <v>90</v>
      </c>
      <c r="B25" s="33" t="n">
        <f aca="false">$B$13/B19</f>
        <v>5.81693107484399</v>
      </c>
      <c r="C25" s="33" t="n">
        <f aca="false">$B$13/C19</f>
        <v>6.77313892276355</v>
      </c>
    </row>
    <row r="26" customFormat="false" ht="15" hidden="false" customHeight="true" outlineLevel="0" collapsed="false">
      <c r="A26" s="4" t="s">
        <v>91</v>
      </c>
      <c r="B26" s="4" t="str">
        <f aca="false">IF(B23&gt;=3,"Healthy (3:1+)",IF(B23&gt;=1,"Marginal (1-3:1) — works but thin","Underwater (&lt;1:1) — losing money per subscriber"))</f>
        <v>Underwater (&lt;1:1) — losing money per subscriber</v>
      </c>
      <c r="C26" s="4" t="str">
        <f aca="false">IF(C23&gt;=3,"Healthy (3:1+)",IF(C23&gt;=1,"Marginal (1-3:1) — works but thin","Underwater (&lt;1:1) — losing money per subscriber"))</f>
        <v>Underwater (&lt;1:1) — losing money per subscriber</v>
      </c>
    </row>
    <row r="28" customFormat="false" ht="39.75" hidden="false" customHeight="true" outlineLevel="0" collapsed="false">
      <c r="A28" s="21" t="s">
        <v>92</v>
      </c>
      <c r="B28" s="21"/>
      <c r="C28" s="21"/>
    </row>
    <row r="31" customFormat="false" ht="15" hidden="false" customHeight="true" outlineLevel="0" collapsed="false">
      <c r="A31" s="10" t="s">
        <v>93</v>
      </c>
      <c r="B31" s="10"/>
      <c r="C31" s="10"/>
      <c r="D31" s="10"/>
      <c r="E31" s="10"/>
    </row>
    <row r="32" customFormat="false" ht="21.75" hidden="false" customHeight="true" outlineLevel="0" collapsed="false">
      <c r="A32" s="21" t="s">
        <v>94</v>
      </c>
      <c r="B32" s="21"/>
      <c r="C32" s="21"/>
      <c r="D32" s="21"/>
      <c r="E32" s="21"/>
    </row>
    <row r="34" customFormat="false" ht="24.75" hidden="false" customHeight="true" outlineLevel="0" collapsed="false">
      <c r="A34" s="8" t="s">
        <v>95</v>
      </c>
      <c r="B34" s="27" t="s">
        <v>96</v>
      </c>
      <c r="C34" s="28" t="s">
        <v>97</v>
      </c>
      <c r="D34" s="27" t="s">
        <v>98</v>
      </c>
      <c r="E34" s="28" t="s">
        <v>99</v>
      </c>
    </row>
    <row r="35" customFormat="false" ht="15" hidden="false" customHeight="true" outlineLevel="0" collapsed="false">
      <c r="A35" s="8" t="s">
        <v>100</v>
      </c>
      <c r="B35" s="34" t="n">
        <f aca="false">Assumptions!B26</f>
        <v>0.07</v>
      </c>
      <c r="C35" s="34" t="n">
        <f aca="false">Assumptions!B27</f>
        <v>0.1</v>
      </c>
      <c r="D35" s="34" t="n">
        <f aca="false">Assumptions!B28</f>
        <v>0.12</v>
      </c>
      <c r="E35" s="34" t="n">
        <f aca="false">Assumptions!B29</f>
        <v>0.15</v>
      </c>
    </row>
    <row r="36" customFormat="false" ht="15" hidden="false" customHeight="true" outlineLevel="0" collapsed="false">
      <c r="A36" s="8" t="s">
        <v>101</v>
      </c>
      <c r="B36" s="22" t="n">
        <f aca="false">$B$5*B35</f>
        <v>0.7589925</v>
      </c>
      <c r="C36" s="22" t="n">
        <f aca="false">$B$5*C35</f>
        <v>1.084275</v>
      </c>
      <c r="D36" s="22" t="n">
        <f aca="false">$B$5*D35</f>
        <v>1.30113</v>
      </c>
      <c r="E36" s="22" t="n">
        <f aca="false">$B$5*E35</f>
        <v>1.6264125</v>
      </c>
    </row>
    <row r="37" customFormat="false" ht="15" hidden="false" customHeight="true" outlineLevel="0" collapsed="false">
      <c r="A37" s="8" t="s">
        <v>102</v>
      </c>
      <c r="B37" s="22" t="n">
        <f aca="false">$B$5*(1-Assumptions!$B$16-B35-Assumptions!$B$32)</f>
        <v>8.3489175</v>
      </c>
      <c r="C37" s="22" t="n">
        <f aca="false">$B$5*(1-Assumptions!$B$16-C35-Assumptions!$B$32)</f>
        <v>8.023635</v>
      </c>
      <c r="D37" s="22" t="n">
        <f aca="false">$B$5*(1-Assumptions!$B$16-D35-Assumptions!$B$32)</f>
        <v>7.80678</v>
      </c>
      <c r="E37" s="22" t="n">
        <f aca="false">$B$5*(1-Assumptions!$B$16-E35-Assumptions!$B$32)</f>
        <v>7.4814975</v>
      </c>
    </row>
    <row r="38" customFormat="false" ht="15" hidden="false" customHeight="true" outlineLevel="0" collapsed="false">
      <c r="A38" s="8" t="s">
        <v>87</v>
      </c>
      <c r="B38" s="22" t="n">
        <f aca="false">B37*Assumptions!$B$11</f>
        <v>33.39567</v>
      </c>
      <c r="C38" s="22" t="n">
        <f aca="false">C37*Assumptions!$B$11</f>
        <v>32.09454</v>
      </c>
      <c r="D38" s="22" t="n">
        <f aca="false">D37*Assumptions!$B$11</f>
        <v>31.22712</v>
      </c>
      <c r="E38" s="22" t="n">
        <f aca="false">E37*Assumptions!$B$11</f>
        <v>29.92599</v>
      </c>
    </row>
    <row r="39" customFormat="false" ht="15" hidden="false" customHeight="true" outlineLevel="0" collapsed="false">
      <c r="A39" s="8" t="s">
        <v>103</v>
      </c>
      <c r="B39" s="22" t="n">
        <f aca="false">$B$11+$B$6*B35</f>
        <v>52.1063</v>
      </c>
      <c r="C39" s="22" t="n">
        <f aca="false">$B$11+$B$6*C35</f>
        <v>53.009</v>
      </c>
      <c r="D39" s="22" t="n">
        <f aca="false">$B$11+$B$6*D35</f>
        <v>53.6108</v>
      </c>
      <c r="E39" s="22" t="n">
        <f aca="false">$B$11+$B$6*E35</f>
        <v>54.5135</v>
      </c>
    </row>
    <row r="40" customFormat="false" ht="15" hidden="false" customHeight="true" outlineLevel="0" collapsed="false">
      <c r="A40" s="25" t="s">
        <v>104</v>
      </c>
      <c r="B40" s="32" t="n">
        <f aca="false">B38/B39</f>
        <v>0.640914246453884</v>
      </c>
      <c r="C40" s="32" t="n">
        <f aca="false">C38/C39</f>
        <v>0.605454545454546</v>
      </c>
      <c r="D40" s="32" t="n">
        <f aca="false">D38/D39</f>
        <v>0.582478157386198</v>
      </c>
      <c r="E40" s="32" t="n">
        <f aca="false">E38/E39</f>
        <v>0.548964751850459</v>
      </c>
    </row>
    <row r="41" customFormat="false" ht="15" hidden="false" customHeight="true" outlineLevel="0" collapsed="false">
      <c r="A41" s="8" t="s">
        <v>89</v>
      </c>
      <c r="B41" s="22" t="n">
        <f aca="false">B38-B39</f>
        <v>-18.71063</v>
      </c>
      <c r="C41" s="22" t="n">
        <f aca="false">C38-C39</f>
        <v>-20.91446</v>
      </c>
      <c r="D41" s="22" t="n">
        <f aca="false">D38-D39</f>
        <v>-22.38368</v>
      </c>
      <c r="E41" s="22" t="n">
        <f aca="false">E38-E39</f>
        <v>-24.58751</v>
      </c>
    </row>
    <row r="42" customFormat="false" ht="15" hidden="false" customHeight="true" outlineLevel="0" collapsed="false">
      <c r="A42" s="4" t="s">
        <v>91</v>
      </c>
      <c r="B42" s="4" t="str">
        <f aca="false">IF(B40&gt;=3,"Healthy (3:1+)",IF(B40&gt;=1,"Marginal (1-3:1) — works but thin","Underwater (&lt;1:1) — losing money per subscriber"))</f>
        <v>Underwater (&lt;1:1) — losing money per subscriber</v>
      </c>
      <c r="C42" s="4" t="str">
        <f aca="false">IF(C40&gt;=3,"Healthy (3:1+)",IF(C40&gt;=1,"Marginal (1-3:1) — works but thin","Underwater (&lt;1:1) — losing money per subscriber"))</f>
        <v>Underwater (&lt;1:1) — losing money per subscriber</v>
      </c>
      <c r="D42" s="4" t="str">
        <f aca="false">IF(D40&gt;=3,"Healthy (3:1+)",IF(D40&gt;=1,"Marginal (1-3:1) — works but thin","Underwater (&lt;1:1) — losing money per subscriber"))</f>
        <v>Underwater (&lt;1:1) — losing money per subscriber</v>
      </c>
      <c r="E42" s="4" t="str">
        <f aca="false">IF(E40&gt;=3,"Healthy (3:1+)",IF(E40&gt;=1,"Marginal (1-3:1) — works but thin","Underwater (&lt;1:1) — losing money per subscriber"))</f>
        <v>Underwater (&lt;1:1) — losing money per subscriber</v>
      </c>
    </row>
    <row r="44" customFormat="false" ht="15" hidden="false" customHeight="true" outlineLevel="0" collapsed="false">
      <c r="A44" s="10" t="s">
        <v>105</v>
      </c>
      <c r="B44" s="10"/>
      <c r="C44" s="10"/>
      <c r="D44" s="10"/>
      <c r="E44" s="10"/>
    </row>
    <row r="45" customFormat="false" ht="21.75" hidden="false" customHeight="true" outlineLevel="0" collapsed="false">
      <c r="A45" s="21" t="s">
        <v>106</v>
      </c>
      <c r="B45" s="21"/>
      <c r="C45" s="21"/>
      <c r="D45" s="21"/>
      <c r="E45" s="21"/>
    </row>
    <row r="47" customFormat="false" ht="24.75" hidden="false" customHeight="true" outlineLevel="0" collapsed="false">
      <c r="A47" s="8" t="s">
        <v>95</v>
      </c>
      <c r="B47" s="27" t="s">
        <v>96</v>
      </c>
      <c r="C47" s="28" t="s">
        <v>97</v>
      </c>
      <c r="D47" s="27" t="s">
        <v>98</v>
      </c>
      <c r="E47" s="28" t="s">
        <v>99</v>
      </c>
    </row>
    <row r="48" customFormat="false" ht="15" hidden="false" customHeight="true" outlineLevel="0" collapsed="false">
      <c r="A48" s="8" t="s">
        <v>107</v>
      </c>
      <c r="B48" s="35" t="n">
        <f aca="false">Assumptions!$B$23*Assumptions!$B$11</f>
        <v>80</v>
      </c>
      <c r="C48" s="35" t="n">
        <f aca="false">Assumptions!$B$23*Assumptions!$B$11</f>
        <v>80</v>
      </c>
      <c r="D48" s="35" t="n">
        <f aca="false">Assumptions!$B$23*Assumptions!$B$11</f>
        <v>80</v>
      </c>
      <c r="E48" s="35" t="n">
        <f aca="false">Assumptions!$B$23*Assumptions!$B$11</f>
        <v>80</v>
      </c>
    </row>
    <row r="49" customFormat="false" ht="15" hidden="false" customHeight="true" outlineLevel="0" collapsed="false">
      <c r="A49" s="8" t="s">
        <v>108</v>
      </c>
      <c r="B49" s="36" t="n">
        <f aca="false">B48*$B$5</f>
        <v>867.42</v>
      </c>
      <c r="C49" s="36" t="n">
        <f aca="false">C48*$B$5</f>
        <v>867.42</v>
      </c>
      <c r="D49" s="36" t="n">
        <f aca="false">D48*$B$5</f>
        <v>867.42</v>
      </c>
      <c r="E49" s="36" t="n">
        <f aca="false">E48*$B$5</f>
        <v>867.42</v>
      </c>
    </row>
    <row r="50" customFormat="false" ht="15" hidden="false" customHeight="true" outlineLevel="0" collapsed="false">
      <c r="A50" s="8" t="s">
        <v>109</v>
      </c>
      <c r="B50" s="36" t="n">
        <f aca="false">B49*Assumptions!$B$16</f>
        <v>130.113</v>
      </c>
      <c r="C50" s="36" t="n">
        <f aca="false">C49*Assumptions!$B$16</f>
        <v>130.113</v>
      </c>
      <c r="D50" s="36" t="n">
        <f aca="false">D49*Assumptions!$B$16</f>
        <v>130.113</v>
      </c>
      <c r="E50" s="36" t="n">
        <f aca="false">E49*Assumptions!$B$16</f>
        <v>130.113</v>
      </c>
    </row>
    <row r="51" customFormat="false" ht="15" hidden="false" customHeight="true" outlineLevel="0" collapsed="false">
      <c r="A51" s="8" t="s">
        <v>110</v>
      </c>
      <c r="B51" s="36" t="n">
        <f aca="false">B49*B35</f>
        <v>60.7194</v>
      </c>
      <c r="C51" s="36" t="n">
        <f aca="false">C49*C35</f>
        <v>86.742</v>
      </c>
      <c r="D51" s="36" t="n">
        <f aca="false">D49*D35</f>
        <v>104.0904</v>
      </c>
      <c r="E51" s="36" t="n">
        <f aca="false">E49*E35</f>
        <v>130.113</v>
      </c>
    </row>
    <row r="52" customFormat="false" ht="15" hidden="false" customHeight="true" outlineLevel="0" collapsed="false">
      <c r="A52" s="8" t="s">
        <v>111</v>
      </c>
      <c r="B52" s="36" t="n">
        <f aca="false">B49*Assumptions!$B$32</f>
        <v>8.6742</v>
      </c>
      <c r="C52" s="36" t="n">
        <f aca="false">C49*Assumptions!$B$32</f>
        <v>8.6742</v>
      </c>
      <c r="D52" s="36" t="n">
        <f aca="false">D49*Assumptions!$B$32</f>
        <v>8.6742</v>
      </c>
      <c r="E52" s="36" t="n">
        <f aca="false">E49*Assumptions!$B$32</f>
        <v>8.6742</v>
      </c>
    </row>
    <row r="53" customFormat="false" ht="15" hidden="false" customHeight="true" outlineLevel="0" collapsed="false">
      <c r="A53" s="8" t="s">
        <v>112</v>
      </c>
      <c r="B53" s="36" t="n">
        <f aca="false">MAX(0,B49-Assumptions!$B$38)*Assumptions!$B$37</f>
        <v>0</v>
      </c>
      <c r="C53" s="36" t="n">
        <f aca="false">MAX(0,C49-Assumptions!$B$38)*Assumptions!$B$37</f>
        <v>0</v>
      </c>
      <c r="D53" s="36" t="n">
        <f aca="false">MAX(0,D49-Assumptions!$B$38)*Assumptions!$B$37</f>
        <v>0</v>
      </c>
      <c r="E53" s="36" t="n">
        <f aca="false">MAX(0,E49-Assumptions!$B$38)*Assumptions!$B$37</f>
        <v>0</v>
      </c>
    </row>
    <row r="54" customFormat="false" ht="15" hidden="false" customHeight="true" outlineLevel="0" collapsed="false">
      <c r="A54" s="8" t="s">
        <v>113</v>
      </c>
      <c r="B54" s="36" t="n">
        <f aca="false">Assumptions!$B$36</f>
        <v>25</v>
      </c>
      <c r="C54" s="36" t="n">
        <f aca="false">Assumptions!$B$36</f>
        <v>25</v>
      </c>
      <c r="D54" s="36" t="n">
        <f aca="false">Assumptions!$B$36</f>
        <v>25</v>
      </c>
      <c r="E54" s="36" t="n">
        <f aca="false">Assumptions!$B$36</f>
        <v>25</v>
      </c>
    </row>
    <row r="55" customFormat="false" ht="15" hidden="false" customHeight="true" outlineLevel="0" collapsed="false">
      <c r="A55" s="8" t="s">
        <v>114</v>
      </c>
      <c r="B55" s="36" t="n">
        <f aca="false">Assumptions!$B$35</f>
        <v>0</v>
      </c>
      <c r="C55" s="36" t="n">
        <f aca="false">Assumptions!$B$35</f>
        <v>0</v>
      </c>
      <c r="D55" s="36" t="n">
        <f aca="false">Assumptions!$B$35</f>
        <v>0</v>
      </c>
      <c r="E55" s="36" t="n">
        <f aca="false">Assumptions!$B$35</f>
        <v>0</v>
      </c>
    </row>
    <row r="56" customFormat="false" ht="15" hidden="false" customHeight="true" outlineLevel="0" collapsed="false">
      <c r="A56" s="8" t="s">
        <v>115</v>
      </c>
      <c r="B56" s="36" t="n">
        <f aca="false">Assumptions!$B$22</f>
        <v>1000</v>
      </c>
      <c r="C56" s="36" t="n">
        <f aca="false">Assumptions!$B$22</f>
        <v>1000</v>
      </c>
      <c r="D56" s="36" t="n">
        <f aca="false">Assumptions!$B$22</f>
        <v>1000</v>
      </c>
      <c r="E56" s="36" t="n">
        <f aca="false">Assumptions!$B$22</f>
        <v>1000</v>
      </c>
    </row>
    <row r="57" customFormat="false" ht="15" hidden="false" customHeight="true" outlineLevel="0" collapsed="false">
      <c r="A57" s="8" t="s">
        <v>116</v>
      </c>
      <c r="B57" s="36" t="n">
        <f aca="false">SUM(B50,B51,B52,B53,B54,B55,B56)</f>
        <v>1224.5066</v>
      </c>
      <c r="C57" s="36" t="n">
        <f aca="false">SUM(C50,C51,C52,C53,C54,C55,C56)</f>
        <v>1250.5292</v>
      </c>
      <c r="D57" s="36" t="n">
        <f aca="false">SUM(D50,D51,D52,D53,D54,D55,D56)</f>
        <v>1267.8776</v>
      </c>
      <c r="E57" s="36" t="n">
        <f aca="false">SUM(E50,E51,E52,E53,E54,E55,E56)</f>
        <v>1293.9002</v>
      </c>
    </row>
    <row r="58" customFormat="false" ht="15" hidden="false" customHeight="true" outlineLevel="0" collapsed="false">
      <c r="A58" s="25" t="s">
        <v>117</v>
      </c>
      <c r="B58" s="37" t="n">
        <f aca="false">B49-B57</f>
        <v>-357.0866</v>
      </c>
      <c r="C58" s="37" t="n">
        <f aca="false">C49-C57</f>
        <v>-383.1092</v>
      </c>
      <c r="D58" s="37" t="n">
        <f aca="false">D49-D57</f>
        <v>-400.4576</v>
      </c>
      <c r="E58" s="37" t="n">
        <f aca="false">E49-E57</f>
        <v>-426.4802</v>
      </c>
    </row>
    <row r="59" customFormat="false" ht="15" hidden="false" customHeight="true" outlineLevel="0" collapsed="false">
      <c r="A59" s="25" t="s">
        <v>118</v>
      </c>
      <c r="B59" s="38" t="n">
        <f aca="false">B58/B49</f>
        <v>-0.41166516796938</v>
      </c>
      <c r="C59" s="38" t="n">
        <f aca="false">C58/C49</f>
        <v>-0.44166516796938</v>
      </c>
      <c r="D59" s="38" t="n">
        <f aca="false">D58/D49</f>
        <v>-0.46166516796938</v>
      </c>
      <c r="E59" s="38" t="n">
        <f aca="false">E58/E49</f>
        <v>-0.49166516796938</v>
      </c>
    </row>
    <row r="61" customFormat="false" ht="21.75" hidden="false" customHeight="true" outlineLevel="0" collapsed="false">
      <c r="A61" s="21" t="s">
        <v>119</v>
      </c>
      <c r="B61" s="21"/>
      <c r="C61" s="21"/>
      <c r="D61" s="21"/>
      <c r="E61" s="21"/>
    </row>
  </sheetData>
  <mergeCells count="11">
    <mergeCell ref="A2:C2"/>
    <mergeCell ref="A4:C4"/>
    <mergeCell ref="A8:C8"/>
    <mergeCell ref="A16:C16"/>
    <mergeCell ref="A21:C21"/>
    <mergeCell ref="A28:C28"/>
    <mergeCell ref="A31:E31"/>
    <mergeCell ref="A32:E32"/>
    <mergeCell ref="A44:E44"/>
    <mergeCell ref="A45:E45"/>
    <mergeCell ref="A61:E6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2026-09-20T12:35:29Z</dcterms:created>
  <dc:creator>openpyxl</dc:creator>
  <dc:description/>
  <dc:language>en-US</dc:language>
  <cp:lastModifiedBy/>
  <dcterms:modified xsi:type="dcterms:W3CDTF">2026-09-22T11:40:39Z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